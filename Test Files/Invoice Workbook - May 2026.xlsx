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eakcampus-my.sharepoint.com/personal/pbatson_peakmade_com/Documents/Credit Boost/"/>
    </mc:Choice>
  </mc:AlternateContent>
  <xr:revisionPtr revIDLastSave="0" documentId="8_{EEA7FDAE-FE67-4A3E-BB97-C2565880915E}" xr6:coauthVersionLast="47" xr6:coauthVersionMax="47" xr10:uidLastSave="{00000000-0000-0000-0000-000000000000}"/>
  <bookViews>
    <workbookView xWindow="-120" yWindow="-120" windowWidth="29040" windowHeight="15720" xr2:uid="{2247BCE9-EDBC-423F-A1E3-23170C1C006A}"/>
  </bookViews>
  <sheets>
    <sheet name="Workbook Master" sheetId="8" r:id="rId1"/>
    <sheet name="Receipts By Charge Codes - RP (" sheetId="11" r:id="rId2"/>
    <sheet name="Count Workbook (sans para.)" sheetId="10" r:id="rId3"/>
    <sheet name="Count Workbook (Formulas)" sheetId="5" r:id="rId4"/>
    <sheet name="Invoice Data" sheetId="1" r:id="rId5"/>
    <sheet name="Sheet1" sheetId="7" r:id="rId6"/>
  </sheets>
  <definedNames>
    <definedName name="_xlnm._FilterDatabase" localSheetId="5" hidden="1">Sheet1!$E$3:$E$146</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3  Page 1_77ac71d7-3a6f-4765-a20d-b0620657c020" name="Table003  Page 1" connection="Query - Table003 (Page 1)"/>
          <x15:modelTable id="Table004  Page 2_e649dfba-659c-491b-be61-e161832b6e74" name="Table004  Page 2" connection="Query - Table004 (Page 2)"/>
          <x15:modelTable id="Table005  Page 3_4b495bb7-f06e-4fc9-bfea-1eb80a129082" name="Table005  Page 3" connection="Query - Table005 (Page 3)"/>
          <x15:modelTable id="Table003  Page 1-9db60a17-f6ca-49de-82e5-893da5aec156" name="Table003  Page 11" connection="Query - Table003 (Page 1)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2" i="8" l="1"/>
  <c r="I63" i="8"/>
  <c r="I64" i="8"/>
  <c r="I65"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2" i="8"/>
  <c r="D62" i="8"/>
  <c r="E62" i="8" s="1"/>
  <c r="D57" i="8"/>
  <c r="E57" i="8" s="1"/>
  <c r="D58" i="8"/>
  <c r="E58" i="8" s="1"/>
  <c r="D59" i="8"/>
  <c r="E59" i="8" s="1"/>
  <c r="D60" i="8"/>
  <c r="E60" i="8" s="1"/>
  <c r="D61" i="8"/>
  <c r="E61" i="8"/>
  <c r="D63" i="8"/>
  <c r="E63" i="8"/>
  <c r="D64" i="8"/>
  <c r="E64" i="8" s="1"/>
  <c r="D65" i="8"/>
  <c r="E65" i="8"/>
  <c r="B62" i="8"/>
  <c r="B63" i="8"/>
  <c r="B64" i="8"/>
  <c r="B65" i="8"/>
  <c r="C62" i="8"/>
  <c r="C63" i="8"/>
  <c r="C64" i="8"/>
  <c r="C65" i="8"/>
  <c r="B89" i="5"/>
  <c r="D89" i="5" s="1"/>
  <c r="B90" i="5"/>
  <c r="D90" i="5" s="1"/>
  <c r="B91" i="5"/>
  <c r="D91" i="5" s="1"/>
  <c r="B83" i="5"/>
  <c r="D83" i="5" s="1"/>
  <c r="B84" i="5"/>
  <c r="D84" i="5" s="1"/>
  <c r="B85" i="5"/>
  <c r="D85" i="5" s="1"/>
  <c r="B86" i="5"/>
  <c r="D86" i="5" s="1"/>
  <c r="B87" i="5"/>
  <c r="D87" i="5" s="1"/>
  <c r="B88" i="5"/>
  <c r="D88" i="5" s="1"/>
  <c r="G152" i="1" a="1"/>
  <c r="G152" i="1" s="1"/>
  <c r="H152" i="1" s="1"/>
  <c r="G153" i="1" a="1"/>
  <c r="G153" i="1"/>
  <c r="G154" i="1" a="1"/>
  <c r="G154" i="1"/>
  <c r="G155" i="1" a="1"/>
  <c r="G155" i="1"/>
  <c r="G156" i="1" a="1"/>
  <c r="G156" i="1"/>
  <c r="G157" i="1" a="1"/>
  <c r="G157" i="1" s="1"/>
  <c r="G158" i="1" a="1"/>
  <c r="G158" i="1"/>
  <c r="G159" i="1" a="1"/>
  <c r="G159" i="1" s="1"/>
  <c r="G160" i="1" a="1"/>
  <c r="G160" i="1" s="1"/>
  <c r="H160" i="1" s="1"/>
  <c r="G161" i="1" a="1"/>
  <c r="G161" i="1"/>
  <c r="G162" i="1" a="1"/>
  <c r="G162" i="1" s="1"/>
  <c r="H162" i="1" s="1"/>
  <c r="H158" i="1"/>
  <c r="H155" i="1"/>
  <c r="H156" i="1"/>
  <c r="H157" i="1"/>
  <c r="H159" i="1"/>
  <c r="H161" i="1"/>
  <c r="H163" i="1"/>
  <c r="H164" i="1"/>
  <c r="H165" i="1"/>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3" i="8"/>
  <c r="D4" i="8"/>
  <c r="D5" i="8"/>
  <c r="D6" i="8"/>
  <c r="D7" i="8"/>
  <c r="D8" i="8"/>
  <c r="D9" i="8"/>
  <c r="D10" i="8"/>
  <c r="D11" i="8"/>
  <c r="D12" i="8"/>
  <c r="D13" i="8"/>
  <c r="D14" i="8"/>
  <c r="D2" i="8"/>
  <c r="G148" i="1" a="1"/>
  <c r="G148" i="1" s="1"/>
  <c r="G149" i="1" a="1"/>
  <c r="G149" i="1" s="1"/>
  <c r="H149" i="1" s="1"/>
  <c r="G150" i="1" a="1"/>
  <c r="G150" i="1" s="1"/>
  <c r="G151" i="1" a="1"/>
  <c r="G151" i="1" s="1"/>
  <c r="H151" i="1" s="1"/>
  <c r="G146" i="1" a="1"/>
  <c r="G146" i="1" s="1"/>
  <c r="G147" i="1" a="1"/>
  <c r="G147" i="1" s="1"/>
  <c r="H147" i="1" s="1"/>
  <c r="G143" i="1" a="1"/>
  <c r="G143" i="1" s="1"/>
  <c r="H143" i="1" s="1"/>
  <c r="G144" i="1" a="1"/>
  <c r="G144" i="1" s="1"/>
  <c r="G145" i="1" a="1"/>
  <c r="G145" i="1" s="1"/>
  <c r="H148" i="1"/>
  <c r="H150" i="1"/>
  <c r="H153" i="1"/>
  <c r="H154" i="1"/>
  <c r="B60" i="8"/>
  <c r="B61" i="8"/>
  <c r="C60" i="8"/>
  <c r="C61" i="8"/>
  <c r="D92" i="10"/>
  <c r="C92" i="10"/>
  <c r="B92" i="10"/>
  <c r="H145" i="1"/>
  <c r="H179" i="1"/>
  <c r="H180" i="1"/>
  <c r="H181" i="1"/>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G142" i="1" a="1"/>
  <c r="G142" i="1" s="1"/>
  <c r="G141" i="1" a="1"/>
  <c r="G141" i="1" s="1"/>
  <c r="B80" i="5" l="1"/>
  <c r="D80" i="5" s="1"/>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3" i="8"/>
  <c r="E4" i="8"/>
  <c r="E5" i="8"/>
  <c r="E6" i="8"/>
  <c r="E7" i="8"/>
  <c r="E8" i="8"/>
  <c r="E9" i="8"/>
  <c r="E10" i="8"/>
  <c r="E11" i="8"/>
  <c r="E12" i="8"/>
  <c r="E13" i="8"/>
  <c r="E14" i="8"/>
  <c r="D66" i="8"/>
  <c r="B81" i="5"/>
  <c r="D81" i="5" s="1"/>
  <c r="B82" i="5"/>
  <c r="D82" i="5" s="1"/>
  <c r="H141" i="1"/>
  <c r="H142" i="1"/>
  <c r="H144" i="1"/>
  <c r="H146" i="1"/>
  <c r="C2" i="8"/>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B8" i="5" s="1"/>
  <c r="G14" i="1" a="1"/>
  <c r="G14" i="1" s="1"/>
  <c r="G15" i="1" a="1"/>
  <c r="G15" i="1" s="1"/>
  <c r="B9" i="5"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H108" i="1" s="1"/>
  <c r="G109" i="1" a="1"/>
  <c r="G109" i="1" s="1"/>
  <c r="H109" i="1" s="1"/>
  <c r="G110" i="1" a="1"/>
  <c r="G110" i="1" s="1"/>
  <c r="H110" i="1" s="1"/>
  <c r="G111" i="1" a="1"/>
  <c r="G111" i="1" s="1"/>
  <c r="H111" i="1" s="1"/>
  <c r="G112" i="1" a="1"/>
  <c r="G112" i="1" s="1"/>
  <c r="H112" i="1" s="1"/>
  <c r="G113" i="1" a="1"/>
  <c r="G113" i="1" s="1"/>
  <c r="G114" i="1" a="1"/>
  <c r="G114" i="1" s="1"/>
  <c r="H114" i="1" s="1"/>
  <c r="G115" i="1" a="1"/>
  <c r="G115" i="1" s="1"/>
  <c r="G116" i="1" a="1"/>
  <c r="G116" i="1" s="1"/>
  <c r="H116" i="1" s="1"/>
  <c r="G117" i="1" a="1"/>
  <c r="G117" i="1" s="1"/>
  <c r="G118" i="1" a="1"/>
  <c r="G118" i="1" s="1"/>
  <c r="H118" i="1" s="1"/>
  <c r="G119" i="1" a="1"/>
  <c r="G119" i="1" s="1"/>
  <c r="G120" i="1" a="1"/>
  <c r="G120" i="1" s="1"/>
  <c r="G121" i="1" a="1"/>
  <c r="G121" i="1" s="1"/>
  <c r="H121" i="1" s="1"/>
  <c r="G122" i="1" a="1"/>
  <c r="G122" i="1" s="1"/>
  <c r="G123" i="1" a="1"/>
  <c r="G123" i="1" s="1"/>
  <c r="G124" i="1" a="1"/>
  <c r="G124" i="1" s="1"/>
  <c r="G125" i="1" a="1"/>
  <c r="G125" i="1" s="1"/>
  <c r="G126" i="1" a="1"/>
  <c r="G126" i="1" s="1"/>
  <c r="H126" i="1" s="1"/>
  <c r="G127" i="1" a="1"/>
  <c r="G127" i="1" s="1"/>
  <c r="G128" i="1" a="1"/>
  <c r="G128" i="1" s="1"/>
  <c r="G129" i="1" a="1"/>
  <c r="G129" i="1" s="1"/>
  <c r="G130" i="1" a="1"/>
  <c r="G130" i="1" s="1"/>
  <c r="H130" i="1" s="1"/>
  <c r="G131" i="1" a="1"/>
  <c r="G131" i="1" s="1"/>
  <c r="H131" i="1" s="1"/>
  <c r="G132" i="1" a="1"/>
  <c r="G132" i="1" s="1"/>
  <c r="G133" i="1" a="1"/>
  <c r="G133" i="1" s="1"/>
  <c r="H133" i="1" s="1"/>
  <c r="G134" i="1" a="1"/>
  <c r="G134" i="1" s="1"/>
  <c r="G135" i="1" a="1"/>
  <c r="G135" i="1" s="1"/>
  <c r="H135" i="1" s="1"/>
  <c r="G136" i="1" a="1"/>
  <c r="G136" i="1" s="1"/>
  <c r="H136" i="1" s="1"/>
  <c r="G137" i="1" a="1"/>
  <c r="G137" i="1" s="1"/>
  <c r="G138" i="1" a="1"/>
  <c r="G138" i="1" s="1"/>
  <c r="G139" i="1" a="1"/>
  <c r="G139" i="1" s="1"/>
  <c r="H139" i="1" s="1"/>
  <c r="G140" i="1" a="1"/>
  <c r="G140" i="1" s="1"/>
  <c r="B79" i="5" s="1"/>
  <c r="D79" i="5" s="1"/>
  <c r="H119" i="1"/>
  <c r="H124" i="1"/>
  <c r="B2" i="8"/>
  <c r="B55" i="5" l="1"/>
  <c r="D55" i="5" s="1"/>
  <c r="B72" i="5"/>
  <c r="D72" i="5" s="1"/>
  <c r="B76" i="5"/>
  <c r="D76" i="5" s="1"/>
  <c r="H127" i="1"/>
  <c r="B73" i="5"/>
  <c r="D73" i="5" s="1"/>
  <c r="B71" i="5"/>
  <c r="D71" i="5" s="1"/>
  <c r="B74" i="5"/>
  <c r="D74" i="5" s="1"/>
  <c r="B78" i="5"/>
  <c r="D78" i="5" s="1"/>
  <c r="B77" i="5"/>
  <c r="D77" i="5" s="1"/>
  <c r="B42" i="5"/>
  <c r="D42" i="5" s="1"/>
  <c r="B75" i="5"/>
  <c r="D75" i="5" s="1"/>
  <c r="B13" i="5"/>
  <c r="D13" i="5" s="1"/>
  <c r="B20" i="5"/>
  <c r="D20" i="5" s="1"/>
  <c r="B37" i="5"/>
  <c r="D37" i="5" s="1"/>
  <c r="B22" i="5"/>
  <c r="D22" i="5" s="1"/>
  <c r="B38" i="5"/>
  <c r="D38" i="5" s="1"/>
  <c r="B51" i="5"/>
  <c r="D51" i="5" s="1"/>
  <c r="B30" i="5"/>
  <c r="D30" i="5" s="1"/>
  <c r="B70" i="5"/>
  <c r="D70" i="5" s="1"/>
  <c r="B69" i="5"/>
  <c r="D69" i="5" s="1"/>
  <c r="B36" i="5"/>
  <c r="D36" i="5" s="1"/>
  <c r="B34" i="5"/>
  <c r="D34" i="5" s="1"/>
  <c r="D9" i="5"/>
  <c r="B6" i="5"/>
  <c r="D6" i="5" s="1"/>
  <c r="B27" i="5"/>
  <c r="D27" i="5" s="1"/>
  <c r="B68" i="5"/>
  <c r="D68" i="5" s="1"/>
  <c r="B21" i="5"/>
  <c r="D21" i="5" s="1"/>
  <c r="B47" i="5"/>
  <c r="D47" i="5" s="1"/>
  <c r="B50" i="5"/>
  <c r="D50" i="5" s="1"/>
  <c r="B7" i="5"/>
  <c r="D7" i="5" s="1"/>
  <c r="B19" i="5"/>
  <c r="D19" i="5" s="1"/>
  <c r="B18" i="5"/>
  <c r="D18" i="5" s="1"/>
  <c r="B17" i="5"/>
  <c r="D17" i="5" s="1"/>
  <c r="B16" i="5"/>
  <c r="D16" i="5" s="1"/>
  <c r="H105" i="1"/>
  <c r="B54" i="5"/>
  <c r="D54" i="5" s="1"/>
  <c r="B2" i="5"/>
  <c r="D2" i="5" s="1"/>
  <c r="B3" i="5"/>
  <c r="D3" i="5" s="1"/>
  <c r="B4" i="5"/>
  <c r="D4" i="5" s="1"/>
  <c r="B5" i="5"/>
  <c r="D5" i="5" s="1"/>
  <c r="D8" i="5"/>
  <c r="B10" i="5"/>
  <c r="D10" i="5" s="1"/>
  <c r="B11" i="5"/>
  <c r="D11" i="5" s="1"/>
  <c r="B12" i="5"/>
  <c r="D12" i="5" s="1"/>
  <c r="B14" i="5"/>
  <c r="D14" i="5" s="1"/>
  <c r="B15" i="5"/>
  <c r="D15" i="5" s="1"/>
  <c r="B23" i="5"/>
  <c r="D23" i="5" s="1"/>
  <c r="B24" i="5"/>
  <c r="D24" i="5" s="1"/>
  <c r="B25" i="5"/>
  <c r="D25" i="5" s="1"/>
  <c r="B26" i="5"/>
  <c r="D26" i="5" s="1"/>
  <c r="B28" i="5"/>
  <c r="D28" i="5" s="1"/>
  <c r="B29" i="5"/>
  <c r="D29" i="5" s="1"/>
  <c r="B48" i="5"/>
  <c r="D48" i="5" s="1"/>
  <c r="B49" i="5"/>
  <c r="D49" i="5" s="1"/>
  <c r="B61" i="5"/>
  <c r="D61" i="5" s="1"/>
  <c r="B31" i="5"/>
  <c r="D31" i="5" s="1"/>
  <c r="B32" i="5"/>
  <c r="D32" i="5" s="1"/>
  <c r="B33" i="5"/>
  <c r="D33" i="5" s="1"/>
  <c r="B35" i="5"/>
  <c r="D35" i="5" s="1"/>
  <c r="B39" i="5"/>
  <c r="D39" i="5" s="1"/>
  <c r="B40" i="5"/>
  <c r="D40" i="5" s="1"/>
  <c r="B41" i="5"/>
  <c r="D41" i="5" s="1"/>
  <c r="B43" i="5"/>
  <c r="D43" i="5" s="1"/>
  <c r="B44" i="5"/>
  <c r="D44" i="5" s="1"/>
  <c r="B45" i="5"/>
  <c r="D45" i="5" s="1"/>
  <c r="B46" i="5"/>
  <c r="D46" i="5" s="1"/>
  <c r="H104" i="1"/>
  <c r="B52" i="5"/>
  <c r="D52" i="5" s="1"/>
  <c r="H106" i="1"/>
  <c r="B53" i="5"/>
  <c r="D53" i="5" s="1"/>
  <c r="H107" i="1"/>
  <c r="H113" i="1"/>
  <c r="B56" i="5"/>
  <c r="D56" i="5" s="1"/>
  <c r="H115" i="1"/>
  <c r="B57" i="5"/>
  <c r="D57" i="5" s="1"/>
  <c r="H117" i="1"/>
  <c r="B58" i="5"/>
  <c r="D58" i="5" s="1"/>
  <c r="H120" i="1"/>
  <c r="B59" i="5"/>
  <c r="D59" i="5" s="1"/>
  <c r="H123" i="1"/>
  <c r="B60" i="5"/>
  <c r="D60" i="5" s="1"/>
  <c r="H125" i="1"/>
  <c r="B62" i="5"/>
  <c r="D62" i="5" s="1"/>
  <c r="H128" i="1"/>
  <c r="B63" i="5"/>
  <c r="D63" i="5" s="1"/>
  <c r="H129" i="1"/>
  <c r="B64" i="5"/>
  <c r="D64" i="5" s="1"/>
  <c r="H132" i="1"/>
  <c r="B65" i="5"/>
  <c r="D65" i="5" s="1"/>
  <c r="H134" i="1"/>
  <c r="B66" i="5"/>
  <c r="D66" i="5" s="1"/>
  <c r="H138" i="1"/>
  <c r="B67" i="5"/>
  <c r="D67" i="5" s="1"/>
  <c r="H140" i="1"/>
  <c r="H137" i="1"/>
  <c r="H122" i="1"/>
  <c r="D92" i="5" l="1"/>
  <c r="B66" i="8"/>
  <c r="B70" i="8" s="1"/>
  <c r="C71" i="8" s="1"/>
  <c r="H6" i="1" l="1"/>
  <c r="H7" i="1"/>
  <c r="H11" i="1"/>
  <c r="H13" i="1"/>
  <c r="H17" i="1"/>
  <c r="H29" i="1"/>
  <c r="H31" i="1"/>
  <c r="H35" i="1"/>
  <c r="H38" i="1"/>
  <c r="H39" i="1"/>
  <c r="H42" i="1"/>
  <c r="H46" i="1"/>
  <c r="H47" i="1"/>
  <c r="H50" i="1"/>
  <c r="H52" i="1"/>
  <c r="H55" i="1"/>
  <c r="H57" i="1"/>
  <c r="H59" i="1"/>
  <c r="H61" i="1"/>
  <c r="H64" i="1"/>
  <c r="H65" i="1"/>
  <c r="H68" i="1"/>
  <c r="H71" i="1"/>
  <c r="H73" i="1"/>
  <c r="H78" i="1"/>
  <c r="H79" i="1"/>
  <c r="H82" i="1"/>
  <c r="H85" i="1"/>
  <c r="H87" i="1"/>
  <c r="H92" i="1"/>
  <c r="H93" i="1"/>
  <c r="H94" i="1"/>
  <c r="H98" i="1"/>
  <c r="H101" i="1"/>
  <c r="H84" i="1"/>
  <c r="H91" i="1"/>
  <c r="H100" i="1"/>
  <c r="H102" i="1"/>
  <c r="H88" i="1"/>
  <c r="H89" i="1"/>
  <c r="H90" i="1"/>
  <c r="H95" i="1"/>
  <c r="H96" i="1"/>
  <c r="H97" i="1"/>
  <c r="H99" i="1"/>
  <c r="H103" i="1"/>
  <c r="H77" i="1"/>
  <c r="H3" i="1"/>
  <c r="H4" i="1"/>
  <c r="H5" i="1"/>
  <c r="H8" i="1"/>
  <c r="H9" i="1"/>
  <c r="H10" i="1"/>
  <c r="H18" i="1"/>
  <c r="H19" i="1"/>
  <c r="H21" i="1"/>
  <c r="H23" i="1"/>
  <c r="H26" i="1"/>
  <c r="H28" i="1"/>
  <c r="H33" i="1"/>
  <c r="H34" i="1"/>
  <c r="H40" i="1"/>
  <c r="H45" i="1"/>
  <c r="H48" i="1"/>
  <c r="H54" i="1"/>
  <c r="H56" i="1"/>
  <c r="H58" i="1"/>
  <c r="H60" i="1"/>
  <c r="H62" i="1"/>
  <c r="H63" i="1"/>
  <c r="H67" i="1"/>
  <c r="H69" i="1"/>
  <c r="H70" i="1"/>
  <c r="H72" i="1"/>
  <c r="H74" i="1"/>
  <c r="H75" i="1"/>
  <c r="H76" i="1"/>
  <c r="H80" i="1"/>
  <c r="H81" i="1"/>
  <c r="H12" i="1"/>
  <c r="H15" i="1"/>
  <c r="H16" i="1"/>
  <c r="H20" i="1"/>
  <c r="H22" i="1"/>
  <c r="H24" i="1"/>
  <c r="H27" i="1"/>
  <c r="H30" i="1"/>
  <c r="H32" i="1"/>
  <c r="H36" i="1"/>
  <c r="H37" i="1"/>
  <c r="H41" i="1"/>
  <c r="H43" i="1"/>
  <c r="H44" i="1"/>
  <c r="H49" i="1"/>
  <c r="H51" i="1"/>
  <c r="H53" i="1"/>
  <c r="H66" i="1"/>
  <c r="H83" i="1" l="1"/>
  <c r="H14" i="1"/>
  <c r="H86" i="1"/>
  <c r="H25" i="1"/>
  <c r="H2" i="1"/>
  <c r="E2" i="8" l="1"/>
  <c r="C92" i="5" l="1"/>
  <c r="E66" i="8" l="1"/>
  <c r="C74" i="8" s="1"/>
  <c r="C66" i="8"/>
  <c r="C73" i="8" s="1"/>
  <c r="C75" i="8" l="1"/>
  <c r="C76" i="8" s="1"/>
  <c r="B9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FD10C9-CD9B-4D03-9385-EBA5900B4D21}" name="Query - Table003 (Page 1)" description="Connection to the 'Table003 (Page 1)' query in the workbook." type="100" refreshedVersion="8" minRefreshableVersion="5">
    <extLst>
      <ext xmlns:x15="http://schemas.microsoft.com/office/spreadsheetml/2010/11/main" uri="{DE250136-89BD-433C-8126-D09CA5730AF9}">
        <x15:connection id="33fe0b63-c95f-48d9-894a-3f5129468ba5"/>
      </ext>
    </extLst>
  </connection>
  <connection id="2" xr16:uid="{F5C500F6-EF50-4201-91C3-34DD1D934E85}" name="Query - Table003 (Page 1) (2)" description="Connection to the 'Table003 (Page 1) (2)' query in the workbook." type="100" refreshedVersion="8" minRefreshableVersion="5">
    <extLst>
      <ext xmlns:x15="http://schemas.microsoft.com/office/spreadsheetml/2010/11/main" uri="{DE250136-89BD-433C-8126-D09CA5730AF9}">
        <x15:connection id="b4cc713d-7e7b-4f2f-8289-4f9008940bcc">
          <x15:oledbPr connection="Provider=Microsoft.Mashup.OleDb.1;Data Source=$Workbook$;Location=&quot;Table003 (Page 1) (2)&quot;;Extended Properties=&quot;&quot;">
            <x15:dbTables>
              <x15:dbTable name="Table003 (Page 1) (2)"/>
            </x15:dbTables>
          </x15:oledbPr>
        </x15:connection>
      </ext>
    </extLst>
  </connection>
  <connection id="3" xr16:uid="{4445BB43-FEF2-481E-A983-97BB499151BA}" name="Query - Table004 (Page 2)" description="Connection to the 'Table004 (Page 2)' query in the workbook." type="100" refreshedVersion="8" minRefreshableVersion="5">
    <extLst>
      <ext xmlns:x15="http://schemas.microsoft.com/office/spreadsheetml/2010/11/main" uri="{DE250136-89BD-433C-8126-D09CA5730AF9}">
        <x15:connection id="e4a899ee-34ad-45ac-a858-f60b4d607e5e"/>
      </ext>
    </extLst>
  </connection>
  <connection id="4" xr16:uid="{C4BA45AE-A2D2-4789-8C87-2173184DBC04}" name="Query - Table005 (Page 3)" description="Connection to the 'Table005 (Page 3)' query in the workbook." type="100" refreshedVersion="8" minRefreshableVersion="5">
    <extLst>
      <ext xmlns:x15="http://schemas.microsoft.com/office/spreadsheetml/2010/11/main" uri="{DE250136-89BD-433C-8126-D09CA5730AF9}">
        <x15:connection id="09745511-8582-483f-a262-126b95376677"/>
      </ext>
    </extLst>
  </connection>
  <connection id="5" xr16:uid="{014E77AF-64D1-4CE9-B84C-FA0FEF425A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<sst xmlns="http://schemas.openxmlformats.org/spreadsheetml/2006/main" count="1089" uniqueCount="209">
  <si>
    <t>PROPERTY</t>
  </si>
  <si>
    <t>QTY</t>
  </si>
  <si>
    <t>AMOUNT</t>
  </si>
  <si>
    <t>Cash Received</t>
  </si>
  <si>
    <t>PA Rev Share</t>
  </si>
  <si>
    <t>Transition Date</t>
  </si>
  <si>
    <t>Notes</t>
  </si>
  <si>
    <t>48 West - Rent Plus Services</t>
  </si>
  <si>
    <t>48 West</t>
  </si>
  <si>
    <t>555 Boulevard - Rent Plus Services</t>
  </si>
  <si>
    <t>555 Boulevard</t>
  </si>
  <si>
    <t>698 Prospect - Rent Plus Services</t>
  </si>
  <si>
    <t>698 Prospect</t>
  </si>
  <si>
    <t>Auden Upstate - Rent Plus Services</t>
  </si>
  <si>
    <t>Auden Upstate</t>
  </si>
  <si>
    <t>Beach Club - Rent Plus Services</t>
  </si>
  <si>
    <t>Beach Club</t>
  </si>
  <si>
    <t>Bixby Kennesaw - Rent Plus Services</t>
  </si>
  <si>
    <t>Bixby Kennesaw</t>
  </si>
  <si>
    <t>Brooks at Stillwater - Rent Plus Services</t>
  </si>
  <si>
    <t>Brooks at Stillwater</t>
  </si>
  <si>
    <t>Campus Creek Cottages - Rent Plus Services</t>
  </si>
  <si>
    <t>Campus Creek Cottages</t>
  </si>
  <si>
    <t>Campus Creek Townhomes - Rent Plus Services</t>
  </si>
  <si>
    <t>Campus Creek Townhomes</t>
  </si>
  <si>
    <t>Castleberry Park - Rent Plus Services</t>
  </si>
  <si>
    <t>Castleberry Park</t>
  </si>
  <si>
    <t>Chateau on Wells - Rent Plus Services</t>
  </si>
  <si>
    <t>Chateau on Wells</t>
  </si>
  <si>
    <t>Clemson Edge - Rent Plus Services</t>
  </si>
  <si>
    <t>Clemson Edge</t>
  </si>
  <si>
    <t>Cobalt Row - Rent Plus Services</t>
  </si>
  <si>
    <t>Cobalt Row</t>
  </si>
  <si>
    <t>College Town Apartments - Rent Plus Services</t>
  </si>
  <si>
    <t>College Town Apartments</t>
  </si>
  <si>
    <t>Cottages at Tucson - Rent Plus Services</t>
  </si>
  <si>
    <t>Cottages at Tucson</t>
  </si>
  <si>
    <t>Everly on The Loop - Rent Plus Services</t>
  </si>
  <si>
    <t>Everly on The Loop</t>
  </si>
  <si>
    <t>Fifteen51 - Rent Plus Services</t>
  </si>
  <si>
    <t>Fifteen51</t>
  </si>
  <si>
    <t>Hamilton Court - Rent Plus Services</t>
  </si>
  <si>
    <t>Hamilton Court</t>
  </si>
  <si>
    <t>Hannah Townhomes &amp; Lofts - Rent Plus Services</t>
  </si>
  <si>
    <t>Hannah Townhomes &amp; Lofts</t>
  </si>
  <si>
    <t>Hawks Landing - Rent Plus Services</t>
  </si>
  <si>
    <t>Hawks Landing</t>
  </si>
  <si>
    <t>i5 Wynwood - Rent Plus Services</t>
  </si>
  <si>
    <t>i5 Wynwood</t>
  </si>
  <si>
    <t>Muse on Main - Rent Plus Services</t>
  </si>
  <si>
    <t>Muse on Main</t>
  </si>
  <si>
    <t>Paloma Kent - Rent Plus Services</t>
  </si>
  <si>
    <t>Paloma Kent</t>
  </si>
  <si>
    <t>Paloma Raleigh - Rent Plus Services</t>
  </si>
  <si>
    <t>Paloma Raleigh</t>
  </si>
  <si>
    <t>Paloma West Midtown - Rent Plus Services</t>
  </si>
  <si>
    <t>Paloma West Midtown</t>
  </si>
  <si>
    <t>Post Chicago - Rent Plus Services</t>
  </si>
  <si>
    <t>Post Chicago</t>
  </si>
  <si>
    <t>Proxi Lawrence - Rent Plus Services</t>
  </si>
  <si>
    <t>Proxi Lawrence</t>
  </si>
  <si>
    <t>Rittenhouse Station - Rent Plus Services</t>
  </si>
  <si>
    <t>Rittenhouse Station</t>
  </si>
  <si>
    <t>Sky Garden Apartments - Rent Plus Services</t>
  </si>
  <si>
    <t>Sky Garden Apartments</t>
  </si>
  <si>
    <t>SoCam 290 - Rent Plus Services</t>
  </si>
  <si>
    <t>SoCam 290</t>
  </si>
  <si>
    <t>Stadium View - Rent Plus Services</t>
  </si>
  <si>
    <t>Stadium View</t>
  </si>
  <si>
    <t>Station 42 - Rent Plus Services</t>
  </si>
  <si>
    <t>Station 42</t>
  </si>
  <si>
    <t>Straits Row - Rent Plus Services</t>
  </si>
  <si>
    <t>Straits Row</t>
  </si>
  <si>
    <t>Tech Village - Rent Plus Services</t>
  </si>
  <si>
    <t>Tech Village</t>
  </si>
  <si>
    <t>The Abbot - Rent Plus Services</t>
  </si>
  <si>
    <t>The Abbot</t>
  </si>
  <si>
    <t>The Avenue - Rent Plus Services</t>
  </si>
  <si>
    <t>The Avenue</t>
  </si>
  <si>
    <t>The Bluff at Waterworks Landing - Rent Plus Services</t>
  </si>
  <si>
    <t>The Bluff at Waterworks Landing</t>
  </si>
  <si>
    <t>The Carmin - Rent Plus Services</t>
  </si>
  <si>
    <t>The Carmin</t>
  </si>
  <si>
    <t>The Cottages of College Station - Rent Plus Services</t>
  </si>
  <si>
    <t>The Cottages of College Station</t>
  </si>
  <si>
    <t>The Davy - Rent Plus Services</t>
  </si>
  <si>
    <t>The Davy</t>
  </si>
  <si>
    <t>The Essex - Rent Plus Services</t>
  </si>
  <si>
    <t>The Essex</t>
  </si>
  <si>
    <t>The Finmore at 241 - Rent Plus Services</t>
  </si>
  <si>
    <t>The Finmore at 241</t>
  </si>
  <si>
    <t>The Gates - Rent Plus Services</t>
  </si>
  <si>
    <t>The Gates</t>
  </si>
  <si>
    <t>The Highlands - Rent Plus Services</t>
  </si>
  <si>
    <t>The Highlands</t>
  </si>
  <si>
    <t>The Hive - Rent Plus Services</t>
  </si>
  <si>
    <t>The Hive</t>
  </si>
  <si>
    <t>The Landing Apartments - Rent Plus Services</t>
  </si>
  <si>
    <t>The Landing Apartments</t>
  </si>
  <si>
    <t>The Nine at Memphis - Rent Plus Services</t>
  </si>
  <si>
    <t>The Nine at Memphis</t>
  </si>
  <si>
    <t>The Printing House - Rent Plus Services</t>
  </si>
  <si>
    <t>The Printing House</t>
  </si>
  <si>
    <t>The Ranch - Rent Plus Services</t>
  </si>
  <si>
    <t>The Ranch</t>
  </si>
  <si>
    <t>The Republic - Rent Plus Services</t>
  </si>
  <si>
    <t>The Republic</t>
  </si>
  <si>
    <t>The Ridge - Rent Plus Services</t>
  </si>
  <si>
    <t>The Ridge</t>
  </si>
  <si>
    <t>The Summit at Coates Run - Rent Plus Services</t>
  </si>
  <si>
    <t>The Summit at Coates Run</t>
  </si>
  <si>
    <t>The Timbers - Rent Plus Services</t>
  </si>
  <si>
    <t>The Timbers</t>
  </si>
  <si>
    <t>The Tower - Rent Plus Services</t>
  </si>
  <si>
    <t>The Tower</t>
  </si>
  <si>
    <t>The Valley - Rent Plus Services</t>
  </si>
  <si>
    <t>The Valley</t>
  </si>
  <si>
    <t>The View - Rent Plus Services</t>
  </si>
  <si>
    <t>The View</t>
  </si>
  <si>
    <t>Theory Gainesville - Rent Plus Services</t>
  </si>
  <si>
    <t>Theory Gainesville</t>
  </si>
  <si>
    <t>Theory Syracuse - Rent Plus Services</t>
  </si>
  <si>
    <t>Theory Syracuse</t>
  </si>
  <si>
    <t>Theory U District - Rent Plus Services</t>
  </si>
  <si>
    <t>Theory U District</t>
  </si>
  <si>
    <t>Trifecta - Rent Plus Services</t>
  </si>
  <si>
    <t>Trifecta</t>
  </si>
  <si>
    <t>University Edge Akron - Rent Plus Services</t>
  </si>
  <si>
    <t>University Edge Akron</t>
  </si>
  <si>
    <t>Uno on Chestnut - Rent Plus Services</t>
  </si>
  <si>
    <t>Uno on Chestnut</t>
  </si>
  <si>
    <t>Valley Falls Apartments - Rent Plus Services</t>
  </si>
  <si>
    <t>Valley Falls Apartments</t>
  </si>
  <si>
    <t>Villas on Rio - Rent Plus Services</t>
  </si>
  <si>
    <t>Villas on Rio</t>
  </si>
  <si>
    <t xml:space="preserve">total policies charged by RentPlus = </t>
  </si>
  <si>
    <t>Peak revenue share from Rent+ @ $2.24/bed</t>
  </si>
  <si>
    <t>Invoice from Rent+</t>
  </si>
  <si>
    <t xml:space="preserve">Property rev share </t>
  </si>
  <si>
    <t>Total collected</t>
  </si>
  <si>
    <t>s/b zero</t>
  </si>
  <si>
    <t>Note: Corporate ACCT pulls the "amounts " in Column C from each property to pay the Rent+ invoice.</t>
  </si>
  <si>
    <t>Property</t>
  </si>
  <si>
    <t>Charge Code</t>
  </si>
  <si>
    <t>GL Account</t>
  </si>
  <si>
    <t>Total Charges</t>
  </si>
  <si>
    <t>Prior Collections</t>
  </si>
  <si>
    <t>Current Collections</t>
  </si>
  <si>
    <t>Total Cash Collections</t>
  </si>
  <si>
    <t>Credits / Concessions</t>
  </si>
  <si>
    <t>Total Collections</t>
  </si>
  <si>
    <t>RentPlus</t>
  </si>
  <si>
    <t>2010-40: RentPlus Payable</t>
  </si>
  <si>
    <t>Claremont Collegiate Apartments</t>
  </si>
  <si>
    <t>Ensemble at Northridge</t>
  </si>
  <si>
    <t>Merced Station</t>
  </si>
  <si>
    <t>Solaire Oxford</t>
  </si>
  <si>
    <t>The Crossings</t>
  </si>
  <si>
    <t>The Residences at 7th</t>
  </si>
  <si>
    <t>The U Davis</t>
  </si>
  <si>
    <t>University Gateway</t>
  </si>
  <si>
    <t>UNIT PRICE</t>
  </si>
  <si>
    <t>555 Boulevard - Rent Plus Services (past)</t>
  </si>
  <si>
    <t>555 Boulevard - Rent Plus Services (past double)</t>
  </si>
  <si>
    <t>555 Boulevard - Rent Plus Services (past triple)</t>
  </si>
  <si>
    <t>Beach Club - Rent Plus Services (past)</t>
  </si>
  <si>
    <t>Beach Club - Rent Plus Services (past double)</t>
  </si>
  <si>
    <t>Beach Club - Rent Plus Services (past triple)</t>
  </si>
  <si>
    <t>Beach Club - Rent Plus Services (past quad)</t>
  </si>
  <si>
    <t>Brooks at Stillwater - Rent Plus Services (past)</t>
  </si>
  <si>
    <t>Brooks at Stillwater - Rent Plus Services (past double)</t>
  </si>
  <si>
    <t>Campus Creek Cottages - Rent Plus Services (past)</t>
  </si>
  <si>
    <t>Campus Creek Townhomes - Rent Plus Services (past)</t>
  </si>
  <si>
    <t>Castleberry Park - Rent Plus Services (past)</t>
  </si>
  <si>
    <t>Castleberry Park - Rent Plus Services (past double)</t>
  </si>
  <si>
    <t>Everly on The Loop - Rent Plus Services (past)</t>
  </si>
  <si>
    <t>Hamilton Court - Rent Plus Services (past)</t>
  </si>
  <si>
    <t>Hannah Townhomes &amp; Lofts - Rent Plus Services (past)</t>
  </si>
  <si>
    <t>Proxi Lawrence - Rent Plus Services (past)</t>
  </si>
  <si>
    <t>Sky Garden Apartments - Rent Plus Services (past)</t>
  </si>
  <si>
    <t>The Cottages of College Station - Rent Plus Services (past)</t>
  </si>
  <si>
    <t>The Essex - Rent Plus Services (past)</t>
  </si>
  <si>
    <t>The Essex - Rent Plus Services (past double)</t>
  </si>
  <si>
    <t>The Essex - Rent Plus Services (past triple)</t>
  </si>
  <si>
    <t>The Valley - Rent Plus Services (past)</t>
  </si>
  <si>
    <t>The Valley - Rent Plus Services (past double)</t>
  </si>
  <si>
    <t>The View - Rent Plus Services (past)</t>
  </si>
  <si>
    <t>University Edge Akron - Rent Plus Services (past)</t>
  </si>
  <si>
    <t>ITEM #</t>
  </si>
  <si>
    <t>DESCRIPTION</t>
  </si>
  <si>
    <t>UNIT</t>
  </si>
  <si>
    <t>Count (DO NOT DELETE THIS COLUMN</t>
  </si>
  <si>
    <t>Reversals (DO NOT DELETE)</t>
  </si>
  <si>
    <t>GUIDE FOR WORKBOOK</t>
  </si>
  <si>
    <t>Column1</t>
  </si>
  <si>
    <t>Rate</t>
  </si>
  <si>
    <t>Multiplier</t>
  </si>
  <si>
    <t>Each</t>
  </si>
  <si>
    <t>Peak</t>
  </si>
  <si>
    <t>Single Charge</t>
  </si>
  <si>
    <t>Double Charge</t>
  </si>
  <si>
    <t>Triple Charge</t>
  </si>
  <si>
    <t>Quad Charge</t>
  </si>
  <si>
    <t>Reversal</t>
  </si>
  <si>
    <t>Other Charges</t>
  </si>
  <si>
    <t/>
  </si>
  <si>
    <t>Subtotal</t>
  </si>
  <si>
    <t>Sales Tax</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</si>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</sst>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9" x14ac:knownFonts="1">
    <font>
      <sz val="11"/>
      <color theme="1"/>
      <name val="Aptos Narrow"/>
      <family val="2"/>
      <scheme val="minor"/>
    </font>
    <font>
      <b/>
      <sz val="11"/>
      <color theme="0"/>
      <name val="Aptos Narrow"/>
      <family val="2"/>
      <scheme val="minor"/>
    </font>
    <font>
      <sz val="11"/>
      <name val="Aptos Narrow"/>
      <family val="2"/>
    </font>
    <font>
      <sz val="1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sz val="9"/>
      <name val="Arial"/>
      <family val="2"/>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1"/>
        <bgColor indexed="64"/>
      </patternFill>
    </fill>
    <fill>
      <patternFill patternType="solid">
        <fgColor theme="1"/>
        <bgColor theme="1"/>
      </patternFill>
    </fill>
  </fills>
  <borders count="14">
    <border>
      <left/>
      <right/>
      <top/>
      <bottom/>
      <diagonal/>
    </border>
    <border>
      <left/>
      <right/>
      <top/>
      <bottom style="thin">
        <color theme="9" tint="0.39997558519241921"/>
      </bottom>
      <diagonal/>
    </border>
    <border>
      <left/>
      <right style="thin">
        <color theme="1"/>
      </right>
      <top style="thin">
        <color theme="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double">
        <color indexed="64"/>
      </bottom>
      <diagonal/>
    </border>
    <border>
      <left style="thin">
        <color theme="1"/>
      </left>
      <right/>
      <top style="thin">
        <color theme="1"/>
      </top>
      <bottom style="thin">
        <color theme="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
      <left style="thin">
        <color theme="1"/>
      </left>
      <right/>
      <top style="thin">
        <color rgb="FF8ED973"/>
      </top>
      <bottom style="thin">
        <color theme="9" tint="0.39997558519241921"/>
      </bottom>
      <diagonal/>
    </border>
  </borders>
  <cellStyleXfs count="3">
    <xf numFmtId="0" fontId="0" fillId="0" borderId="0"/>
    <xf numFmtId="0" fontId="2" fillId="0" borderId="0"/>
    <xf numFmtId="44" fontId="5" fillId="0" borderId="0" applyFont="0" applyFill="0" applyBorder="0" applyAlignment="0" applyProtection="0"/>
  </cellStyleXfs>
  <cellXfs count="34">
    <xf numFmtId="0" fontId="0" fillId="0" borderId="0" xfId="0"/>
    <xf numFmtId="0" fontId="3" fillId="0" borderId="0" xfId="0" applyFont="1"/>
    <xf numFmtId="0" fontId="1" fillId="0" borderId="1" xfId="0" applyFont="1" applyBorder="1"/>
    <xf numFmtId="2" fontId="3" fillId="0" borderId="0" xfId="0" applyNumberFormat="1" applyFont="1"/>
    <xf numFmtId="0" fontId="1" fillId="0" borderId="2" xfId="0" applyFont="1" applyBorder="1"/>
    <xf numFmtId="0" fontId="1" fillId="2" borderId="3" xfId="0" applyFont="1" applyFill="1" applyBorder="1"/>
    <xf numFmtId="0" fontId="0" fillId="3" borderId="3" xfId="0" applyFill="1" applyBorder="1"/>
    <xf numFmtId="0" fontId="1" fillId="4" borderId="0" xfId="0" applyFont="1" applyFill="1" applyAlignment="1">
      <alignment horizontal="centerContinuous"/>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 fillId="0" borderId="0" xfId="0" applyFont="1" applyAlignment="1">
      <alignment wrapText="1"/>
    </xf>
    <xf numFmtId="44" fontId="0" fillId="0" borderId="0" xfId="2" applyFont="1"/>
    <xf numFmtId="44" fontId="0" fillId="0" borderId="0" xfId="0" applyNumberFormat="1"/>
    <xf numFmtId="0" fontId="6" fillId="0" borderId="0" xfId="0" applyFont="1"/>
    <xf numFmtId="0" fontId="0" fillId="0" borderId="0" xfId="2" applyNumberFormat="1" applyFont="1" applyBorder="1"/>
    <xf numFmtId="44" fontId="0" fillId="0" borderId="0" xfId="2" applyFont="1" applyBorder="1"/>
    <xf numFmtId="0" fontId="0" fillId="0" borderId="0" xfId="0" applyAlignment="1">
      <alignment horizontal="right"/>
    </xf>
    <xf numFmtId="44" fontId="6" fillId="0" borderId="9" xfId="2" applyFont="1" applyBorder="1"/>
    <xf numFmtId="0" fontId="7" fillId="0" borderId="0" xfId="0" applyFont="1"/>
    <xf numFmtId="0" fontId="0" fillId="0" borderId="0" xfId="0" applyAlignment="1">
      <alignment horizontal="centerContinuous" wrapText="1"/>
    </xf>
    <xf numFmtId="0" fontId="0" fillId="0" borderId="0" xfId="0" applyAlignment="1">
      <alignment horizontal="centerContinuous"/>
    </xf>
    <xf numFmtId="0" fontId="3" fillId="0" borderId="10" xfId="0" applyFont="1" applyBorder="1"/>
    <xf numFmtId="44" fontId="3" fillId="0" borderId="0" xfId="0" applyNumberFormat="1" applyFont="1"/>
    <xf numFmtId="0" fontId="0" fillId="0" borderId="10" xfId="0" applyBorder="1"/>
    <xf numFmtId="0" fontId="8" fillId="0" borderId="0" xfId="0" applyFont="1"/>
    <xf numFmtId="14" fontId="3" fillId="0" borderId="0" xfId="0" applyNumberFormat="1" applyFont="1"/>
    <xf numFmtId="0" fontId="0" fillId="3" borderId="11" xfId="0" applyFill="1" applyBorder="1"/>
    <xf numFmtId="0" fontId="0" fillId="0" borderId="11" xfId="0" applyBorder="1"/>
    <xf numFmtId="0" fontId="0" fillId="3" borderId="12" xfId="0" applyFill="1" applyBorder="1"/>
    <xf numFmtId="0" fontId="1" fillId="5" borderId="13" xfId="0" applyFont="1" applyFill="1" applyBorder="1"/>
    <xf numFmtId="4" fontId="0" fillId="0" borderId="0" xfId="0" applyNumberFormat="1"/>
  </cellXfs>
  <cellStyles count="3">
    <cellStyle name="Currency" xfId="2" builtinId="4"/>
    <cellStyle name="Normal" xfId="0" builtinId="0"/>
    <cellStyle name="Normal 2" xfId="1" xr:uid="{BF15A8F7-B370-4811-B3D3-1B31E965CF11}"/>
  </cellStyles>
  <dxfs count="55">
    <dxf>
      <font>
        <color rgb="FF006100"/>
      </font>
      <fill>
        <patternFill>
          <bgColor rgb="FFC6EFCE"/>
        </patternFill>
      </fill>
    </dxf>
    <dxf>
      <font>
        <color rgb="FF006100"/>
      </font>
      <fill>
        <patternFill>
          <bgColor rgb="FFC6EFCE"/>
        </patternFill>
      </fill>
    </dxf>
    <dxf>
      <fill>
        <patternFill>
          <bgColor theme="6" tint="0.79998168889431442"/>
        </patternFill>
      </fill>
    </dxf>
    <dxf>
      <fill>
        <patternFill>
          <bgColor theme="6" tint="0.79998168889431442"/>
        </patternFill>
      </fill>
    </dxf>
    <dxf>
      <font>
        <color rgb="FF006100"/>
      </font>
      <fill>
        <patternFill>
          <bgColor rgb="FFC6EFCE"/>
        </patternFill>
      </fill>
    </dxf>
    <dxf>
      <border diagonalUp="0" diagonalDown="0">
        <left/>
        <right style="medium">
          <color indexed="64"/>
        </right>
        <top/>
        <bottom/>
        <vertical/>
        <horizontal/>
      </border>
    </dxf>
    <dxf>
      <border diagonalUp="0" diagonalDown="0">
        <left style="medium">
          <color indexed="64"/>
        </left>
        <right/>
        <top/>
        <bottom/>
        <vertical/>
        <horizontal/>
      </border>
    </dxf>
    <dxf>
      <border outline="0">
        <bottom style="medium">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Continuous" vertical="bottom" textRotation="0" wrapText="0" indent="0" justifyLastLine="0" shrinkToFit="0" readingOrder="0"/>
    </dxf>
    <dxf>
      <fill>
        <patternFill patternType="solid">
          <fgColor theme="9" tint="0.79998168889431442"/>
          <bgColor theme="9" tint="0.79998168889431442"/>
        </patternFill>
      </fill>
      <border diagonalUp="0" diagonalDown="0" outline="0">
        <left/>
        <right style="thin">
          <color theme="9" tint="0.39997558519241921"/>
        </right>
        <top/>
        <bottom/>
      </border>
    </dxf>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Aptos Narrow"/>
        <family val="2"/>
        <scheme val="minor"/>
      </font>
      <numFmt numFmtId="2" formatCode="0.0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border diagonalUp="0" diagonalDown="0">
        <left/>
        <right/>
        <top style="thin">
          <color theme="9" tint="0.39997558519241921"/>
        </top>
        <bottom style="thin">
          <color indexed="64"/>
        </bottom>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border diagonalUp="0" diagonalDown="0">
        <left/>
        <right/>
        <top style="thin">
          <color rgb="FF8ED973"/>
        </top>
        <bottom style="thin">
          <color rgb="FF000000"/>
        </bottom>
      </border>
    </dxf>
    <dxf>
      <font>
        <b val="0"/>
        <i val="0"/>
        <strike val="0"/>
        <condense val="0"/>
        <extend val="0"/>
        <outline val="0"/>
        <shadow val="0"/>
        <u val="none"/>
        <vertAlign val="baseline"/>
        <sz val="11"/>
        <color auto="1"/>
        <name val="Aptos Narrow"/>
        <family val="2"/>
        <scheme val="none"/>
      </font>
      <fill>
        <patternFill patternType="none">
          <fgColor rgb="FF000000"/>
          <bgColor rgb="FFFFFFFF"/>
        </patternFill>
      </fill>
    </dxf>
    <dxf>
      <border outline="0">
        <bottom style="thin">
          <color rgb="FF8ED973"/>
        </bottom>
      </border>
    </dxf>
    <dxf>
      <font>
        <b/>
        <i val="0"/>
        <strike val="0"/>
        <condense val="0"/>
        <extend val="0"/>
        <outline val="0"/>
        <shadow val="0"/>
        <u val="none"/>
        <vertAlign val="baseline"/>
        <sz val="11"/>
        <color theme="0"/>
        <name val="Aptos Narrow"/>
        <family val="2"/>
        <scheme val="minor"/>
      </font>
      <fill>
        <patternFill patternType="none">
          <fgColor indexed="64"/>
          <bgColor indexed="65"/>
        </patternFill>
      </fill>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34" formatCode="_(&quot;$&quot;* #,##0.00_);_(&quot;$&quot;* \(#,##0.00\);_(&quot;$&quot;* &quot;-&quot;??_);_(@_)"/>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34" formatCode="_(&quot;$&quot;* #,##0.00_);_(&quot;$&quot;* \(#,##0.00\);_(&quot;$&quot;* &quot;-&quot;??_);_(@_)"/>
    </dxf>
    <dxf>
      <font>
        <b val="0"/>
        <i val="0"/>
        <strike val="0"/>
        <condense val="0"/>
        <extend val="0"/>
        <outline val="0"/>
        <shadow val="0"/>
        <u val="none"/>
        <vertAlign val="baseline"/>
        <sz val="11"/>
        <color auto="1"/>
        <name val="Aptos Narrow"/>
        <family val="2"/>
        <scheme val="minor"/>
      </font>
      <numFmt numFmtId="0" formatCode="Genera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border diagonalUp="0" diagonalDown="0">
        <left/>
        <right/>
        <top style="thin">
          <color rgb="FF8ED973"/>
        </top>
        <bottom style="thin">
          <color rgb="FF000000"/>
        </bottom>
      </border>
    </dxf>
    <dxf>
      <font>
        <b val="0"/>
        <i val="0"/>
        <strike val="0"/>
        <condense val="0"/>
        <extend val="0"/>
        <outline val="0"/>
        <shadow val="0"/>
        <u val="none"/>
        <vertAlign val="baseline"/>
        <sz val="11"/>
        <color auto="1"/>
        <name val="Aptos Narrow"/>
        <family val="2"/>
        <scheme val="none"/>
      </font>
      <fill>
        <patternFill patternType="none">
          <fgColor rgb="FF000000"/>
          <bgColor rgb="FFFFFFFF"/>
        </patternFill>
      </fill>
    </dxf>
    <dxf>
      <border outline="0">
        <bottom style="thin">
          <color rgb="FF8ED973"/>
        </bottom>
      </border>
    </dxf>
    <dxf>
      <font>
        <b/>
        <i val="0"/>
        <strike val="0"/>
        <condense val="0"/>
        <extend val="0"/>
        <outline val="0"/>
        <shadow val="0"/>
        <u val="none"/>
        <vertAlign val="baseline"/>
        <sz val="11"/>
        <color theme="0"/>
        <name val="Aptos Narrow"/>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594359</xdr:colOff>
      <xdr:row>11</xdr:row>
      <xdr:rowOff>47625</xdr:rowOff>
    </xdr:to>
    <xdr:sp macro="" textlink="">
      <xdr:nvSpPr>
        <xdr:cNvPr id="2" name="TextBox 1">
          <a:extLst>
            <a:ext uri="{FF2B5EF4-FFF2-40B4-BE49-F238E27FC236}">
              <a16:creationId xmlns:a16="http://schemas.microsoft.com/office/drawing/2014/main" id="{F3C15391-86F7-41BF-AFCC-2D6FFAB6231C}"/>
            </a:ext>
          </a:extLst>
        </xdr:cNvPr>
        <xdr:cNvSpPr txBox="1"/>
      </xdr:nvSpPr>
      <xdr:spPr>
        <a:xfrm>
          <a:off x="7343775" y="361950"/>
          <a:ext cx="4861559"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0" i="0" u="sng" strike="noStrike">
              <a:solidFill>
                <a:schemeClr val="dk1"/>
              </a:solidFill>
              <a:effectLst/>
              <a:latin typeface="+mn-lt"/>
              <a:ea typeface="+mn-ea"/>
              <a:cs typeface="+mn-cs"/>
            </a:rPr>
            <a:t>Notes</a:t>
          </a:r>
        </a:p>
        <a:p>
          <a:pPr algn="l"/>
          <a:r>
            <a:rPr lang="en-US" sz="1100" b="0" i="0" u="none" strike="noStrike">
              <a:solidFill>
                <a:schemeClr val="dk1"/>
              </a:solidFill>
              <a:effectLst/>
              <a:latin typeface="+mn-lt"/>
              <a:ea typeface="+mn-ea"/>
              <a:cs typeface="+mn-cs"/>
            </a:rPr>
            <a:t>Once copied from Count</a:t>
          </a:r>
          <a:r>
            <a:rPr lang="en-US" sz="1100" b="0" i="0" u="none" strike="noStrike" baseline="0">
              <a:solidFill>
                <a:schemeClr val="dk1"/>
              </a:solidFill>
              <a:effectLst/>
              <a:latin typeface="+mn-lt"/>
              <a:ea typeface="+mn-ea"/>
              <a:cs typeface="+mn-cs"/>
            </a:rPr>
            <a:t> Workbook (Formulas), t</a:t>
          </a:r>
          <a:r>
            <a:rPr lang="en-US" sz="1100" b="0" i="0" u="none" strike="noStrike">
              <a:solidFill>
                <a:schemeClr val="dk1"/>
              </a:solidFill>
              <a:effectLst/>
              <a:latin typeface="+mn-lt"/>
              <a:ea typeface="+mn-ea"/>
              <a:cs typeface="+mn-cs"/>
            </a:rPr>
            <a:t>hen remove any of the words within the Paranthesis using the Replace Function. If you use the (*) then it will remove all  without having to individually remove in each line. </a:t>
          </a:r>
          <a:r>
            <a:rPr lang="en-US"/>
            <a:t> </a:t>
          </a:r>
          <a:br>
            <a:rPr lang="en-US"/>
          </a:br>
          <a:br>
            <a:rPr lang="en-US"/>
          </a:br>
          <a:r>
            <a:rPr lang="en-US"/>
            <a:t>Then</a:t>
          </a:r>
          <a:r>
            <a:rPr lang="en-US" baseline="0"/>
            <a:t> copy the property name only into another tab and remove duplicates. Once list is limited to just single line per property, copy to Workbook Master tab in Property row only.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466726</xdr:colOff>
      <xdr:row>1</xdr:row>
      <xdr:rowOff>55245</xdr:rowOff>
    </xdr:from>
    <xdr:to>
      <xdr:col>12</xdr:col>
      <xdr:colOff>447675</xdr:colOff>
      <xdr:row>16</xdr:row>
      <xdr:rowOff>0</xdr:rowOff>
    </xdr:to>
    <xdr:sp macro="" textlink="">
      <xdr:nvSpPr>
        <xdr:cNvPr id="2" name="TextBox 1">
          <a:extLst>
            <a:ext uri="{FF2B5EF4-FFF2-40B4-BE49-F238E27FC236}">
              <a16:creationId xmlns:a16="http://schemas.microsoft.com/office/drawing/2014/main" id="{740E915C-E07E-DFBB-6935-4C4E54B61A99}"/>
            </a:ext>
          </a:extLst>
        </xdr:cNvPr>
        <xdr:cNvSpPr txBox="1"/>
      </xdr:nvSpPr>
      <xdr:spPr>
        <a:xfrm>
          <a:off x="7315201" y="236220"/>
          <a:ext cx="4857749" cy="2297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0" i="0" u="sng" strike="noStrike">
              <a:solidFill>
                <a:schemeClr val="dk1"/>
              </a:solidFill>
              <a:effectLst/>
              <a:latin typeface="+mn-lt"/>
              <a:ea typeface="+mn-ea"/>
              <a:cs typeface="+mn-cs"/>
            </a:rPr>
            <a:t>Notes</a:t>
          </a:r>
        </a:p>
        <a:p>
          <a:pPr algn="l"/>
          <a:r>
            <a:rPr lang="en-US" sz="1100" b="0" i="0" u="none" strike="noStrike">
              <a:solidFill>
                <a:schemeClr val="dk1"/>
              </a:solidFill>
              <a:effectLst/>
              <a:latin typeface="+mn-lt"/>
              <a:ea typeface="+mn-ea"/>
              <a:cs typeface="+mn-cs"/>
            </a:rPr>
            <a:t>Count Workbook (formula) tab feeds from the Invoice Data tab. Before</a:t>
          </a:r>
          <a:r>
            <a:rPr lang="en-US" sz="1100" b="0" i="0" u="none" strike="noStrike" baseline="0">
              <a:solidFill>
                <a:schemeClr val="dk1"/>
              </a:solidFill>
              <a:effectLst/>
              <a:latin typeface="+mn-lt"/>
              <a:ea typeface="+mn-ea"/>
              <a:cs typeface="+mn-cs"/>
            </a:rPr>
            <a:t> using this tab, complete tasks on Invoice Data tab. </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pPr algn="l"/>
          <a:r>
            <a:rPr lang="en-US" sz="1100" b="0" i="0" u="sng" strike="noStrike">
              <a:solidFill>
                <a:schemeClr val="dk1"/>
              </a:solidFill>
              <a:effectLst/>
              <a:latin typeface="+mn-lt"/>
              <a:ea typeface="+mn-ea"/>
              <a:cs typeface="+mn-cs"/>
            </a:rPr>
            <a:t>Next</a:t>
          </a:r>
          <a:r>
            <a:rPr lang="en-US" sz="1100" b="0" i="0" u="sng" strike="noStrike" baseline="0">
              <a:solidFill>
                <a:schemeClr val="dk1"/>
              </a:solidFill>
              <a:effectLst/>
              <a:latin typeface="+mn-lt"/>
              <a:ea typeface="+mn-ea"/>
              <a:cs typeface="+mn-cs"/>
            </a:rPr>
            <a:t> step: </a:t>
          </a:r>
        </a:p>
        <a:p>
          <a:pPr algn="l"/>
          <a:r>
            <a:rPr lang="en-US" sz="1100" b="0" i="0" u="none" strike="noStrike" baseline="0">
              <a:solidFill>
                <a:schemeClr val="dk1"/>
              </a:solidFill>
              <a:effectLst/>
              <a:latin typeface="+mn-lt"/>
              <a:ea typeface="+mn-ea"/>
              <a:cs typeface="+mn-cs"/>
            </a:rPr>
            <a:t>- Verify the total amount due, matches the invoice total due. O</a:t>
          </a:r>
          <a:r>
            <a:rPr lang="en-US" sz="1100" b="0" i="0" u="none" strike="noStrike">
              <a:solidFill>
                <a:schemeClr val="dk1"/>
              </a:solidFill>
              <a:effectLst/>
              <a:latin typeface="+mn-lt"/>
              <a:ea typeface="+mn-ea"/>
              <a:cs typeface="+mn-cs"/>
            </a:rPr>
            <a:t>nce verified</a:t>
          </a:r>
          <a:r>
            <a:rPr lang="en-US" sz="1100" b="0" i="0" u="none" strike="noStrike" baseline="0">
              <a:solidFill>
                <a:schemeClr val="dk1"/>
              </a:solidFill>
              <a:effectLst/>
              <a:latin typeface="+mn-lt"/>
              <a:ea typeface="+mn-ea"/>
              <a:cs typeface="+mn-cs"/>
            </a:rPr>
            <a:t>, co</a:t>
          </a:r>
          <a:r>
            <a:rPr lang="en-US" sz="1100" b="0" i="0" u="none" strike="noStrike">
              <a:solidFill>
                <a:schemeClr val="dk1"/>
              </a:solidFill>
              <a:effectLst/>
              <a:latin typeface="+mn-lt"/>
              <a:ea typeface="+mn-ea"/>
              <a:cs typeface="+mn-cs"/>
            </a:rPr>
            <a:t>py all data in table, and</a:t>
          </a:r>
          <a:r>
            <a:rPr lang="en-US" sz="1100" b="0" i="0" u="none" strike="noStrike" baseline="0">
              <a:solidFill>
                <a:schemeClr val="dk1"/>
              </a:solidFill>
              <a:effectLst/>
              <a:latin typeface="+mn-lt"/>
              <a:ea typeface="+mn-ea"/>
              <a:cs typeface="+mn-cs"/>
            </a:rPr>
            <a:t> in new tab (Count Workbook (sans para.) </a:t>
          </a:r>
          <a:r>
            <a:rPr lang="en-US" sz="1100" b="0" i="0" u="none" strike="noStrike">
              <a:solidFill>
                <a:schemeClr val="dk1"/>
              </a:solidFill>
              <a:effectLst/>
              <a:latin typeface="+mn-lt"/>
              <a:ea typeface="+mn-ea"/>
              <a:cs typeface="+mn-cs"/>
            </a:rPr>
            <a:t>paste cells as </a:t>
          </a:r>
          <a:r>
            <a:rPr lang="en-US" sz="1100" b="1" i="0" u="sng" strike="noStrike">
              <a:solidFill>
                <a:schemeClr val="dk1"/>
              </a:solidFill>
              <a:effectLst/>
              <a:latin typeface="+mn-lt"/>
              <a:ea typeface="+mn-ea"/>
              <a:cs typeface="+mn-cs"/>
            </a:rPr>
            <a:t>numbers only </a:t>
          </a:r>
          <a:r>
            <a:rPr lang="en-US" sz="1100" b="0" i="0" u="none" strike="noStrike">
              <a:solidFill>
                <a:schemeClr val="dk1"/>
              </a:solidFill>
              <a:effectLst/>
              <a:latin typeface="+mn-lt"/>
              <a:ea typeface="+mn-ea"/>
              <a:cs typeface="+mn-cs"/>
            </a:rPr>
            <a:t>to remove formulas. </a:t>
          </a:r>
          <a:br>
            <a:rPr lang="en-US" sz="1100" b="0" i="0" u="none" strike="noStrike">
              <a:solidFill>
                <a:schemeClr val="dk1"/>
              </a:solidFill>
              <a:effectLst/>
              <a:latin typeface="+mn-lt"/>
              <a:ea typeface="+mn-ea"/>
              <a:cs typeface="+mn-cs"/>
            </a:rPr>
          </a:br>
          <a:r>
            <a:rPr lang="en-US" sz="1100" b="0" i="0" u="none" strike="noStrike">
              <a:solidFill>
                <a:schemeClr val="dk1"/>
              </a:solidFill>
              <a:effectLst/>
              <a:latin typeface="+mn-lt"/>
              <a:ea typeface="+mn-ea"/>
              <a:cs typeface="+mn-cs"/>
            </a:rPr>
            <a:t>-</a:t>
          </a:r>
          <a:r>
            <a:rPr lang="en-US" sz="1100" b="0" i="0" u="none" strike="noStrike" baseline="0">
              <a:solidFill>
                <a:schemeClr val="dk1"/>
              </a:solidFill>
              <a:effectLst/>
              <a:latin typeface="+mn-lt"/>
              <a:ea typeface="+mn-ea"/>
              <a:cs typeface="+mn-cs"/>
            </a:rPr>
            <a:t> If the totals do not match, audit the unit price for any properties that are not the Peak standard rate. To audit, you can filter invoice data tab by properites with (*) and also filter count workbook (formula) by properties with (*) and make sure the unit price and property names match fully. </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161924</xdr:colOff>
      <xdr:row>2</xdr:row>
      <xdr:rowOff>74611</xdr:rowOff>
    </xdr:from>
    <xdr:to>
      <xdr:col>11</xdr:col>
      <xdr:colOff>53975</xdr:colOff>
      <xdr:row>31</xdr:row>
      <xdr:rowOff>76200</xdr:rowOff>
    </xdr:to>
    <xdr:sp macro="" textlink="">
      <xdr:nvSpPr>
        <xdr:cNvPr id="2" name="TextBox 1">
          <a:extLst>
            <a:ext uri="{FF2B5EF4-FFF2-40B4-BE49-F238E27FC236}">
              <a16:creationId xmlns:a16="http://schemas.microsoft.com/office/drawing/2014/main" id="{53959E6C-483F-C485-6B13-42FDB5B7D556}"/>
            </a:ext>
          </a:extLst>
        </xdr:cNvPr>
        <xdr:cNvSpPr txBox="1"/>
      </xdr:nvSpPr>
      <xdr:spPr>
        <a:xfrm>
          <a:off x="11715749" y="446086"/>
          <a:ext cx="3740151" cy="5249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Initial Steps:</a:t>
          </a:r>
          <a:r>
            <a:rPr lang="en-US" sz="1100" u="sng" baseline="0"/>
            <a:t> </a:t>
          </a:r>
        </a:p>
        <a:p>
          <a:r>
            <a:rPr lang="en-US" sz="1100"/>
            <a:t>To remove line breaks (line breaks inserted using the Alt+Enter shortcut) in Excel, you can use the Find &amp; Replace tool. First, select the cells containing the line breaks, then open the Find &amp; Replace window (Ctrl+H). In the "Find what" field, press Ctrl+J (this will insert the line break character). Add one space in the "Replace with" field but otherwise keep blank. Finally, click "Replace All". </a:t>
          </a:r>
        </a:p>
        <a:p>
          <a:endParaRPr lang="en-US" sz="1100"/>
        </a:p>
        <a:p>
          <a:r>
            <a:rPr lang="en-US" sz="1100"/>
            <a:t>Will need to remove dollar sign in unit price to have the reporting work properly. </a:t>
          </a:r>
        </a:p>
        <a:p>
          <a:endParaRPr lang="en-US" sz="1100"/>
        </a:p>
        <a:p>
          <a:r>
            <a:rPr lang="en-US" sz="1100"/>
            <a:t>If needed: Create space between PlusServices, select column with applicable categories. Go to Find/Replace and after ensuring you've removed the line break from the previous step input PlusServices into the first search bar and Plus Services into replace with and then select Replace All. </a:t>
          </a:r>
        </a:p>
        <a:p>
          <a:endParaRPr lang="en-US" sz="1100"/>
        </a:p>
        <a:p>
          <a:r>
            <a:rPr lang="en-US" sz="1100"/>
            <a:t>Next step, is to ID which fees are from prior management (will be indicated by not being equal to the current Peak rates of $7.85 or the various multipliers under the workbook guide)</a:t>
          </a:r>
          <a:r>
            <a:rPr lang="en-US" sz="1100" baseline="0"/>
            <a:t> and add (prior) to the end of the property name. </a:t>
          </a:r>
          <a:br>
            <a:rPr lang="en-US" sz="1100" baseline="0"/>
          </a:br>
          <a:br>
            <a:rPr lang="en-US" sz="1100" baseline="0"/>
          </a:br>
          <a:r>
            <a:rPr lang="en-US" sz="1100" baseline="0"/>
            <a:t>Copy Description and Unit Price to Sheet 1 and "remove duplicates" and select the unit description. This will remove all duplicate names. </a:t>
          </a:r>
          <a:br>
            <a:rPr lang="en-US" sz="1100" baseline="0"/>
          </a:br>
          <a:br>
            <a:rPr lang="en-US" sz="1100" baseline="0"/>
          </a:br>
          <a:r>
            <a:rPr lang="en-US" sz="1100" baseline="0"/>
            <a:t>Once complete, go to count workbook (formulas) for next steps.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C08529-931A-44FC-B0B8-15457A646FEC}" name="Table53" displayName="Table53" ref="A1:G66" totalsRowCount="1" headerRowDxfId="54" dataDxfId="52" headerRowBorderDxfId="53" tableBorderDxfId="51">
  <autoFilter ref="A1:G65" xr:uid="{A426E0CB-B8BE-4269-9688-D8DE6B1F977A}"/>
  <tableColumns count="7">
    <tableColumn id="1" xr3:uid="{F4F145A4-B63E-404C-97BA-CFF8F43874E8}" name="PROPERTY" dataDxfId="50" totalsRowDxfId="49"/>
    <tableColumn id="2" xr3:uid="{38B0C2E9-5846-4E87-8D34-2F021D0CC934}" name="QTY" totalsRowFunction="sum" dataDxfId="48" totalsRowDxfId="47">
      <calculatedColumnFormula>SUMIFS('Count Workbook (sans para.)'!B:B,'Count Workbook (sans para.)'!A:A,$A2)</calculatedColumnFormula>
    </tableColumn>
    <tableColumn id="4" xr3:uid="{6EAE94BF-AE69-470B-8C10-4E596048B150}" name="AMOUNT" totalsRowFunction="sum" dataDxfId="46" totalsRowDxfId="45">
      <calculatedColumnFormula>SUMIFS('Count Workbook (sans para.)'!D:D,'Count Workbook (sans para.)'!A:A,$A2)</calculatedColumnFormula>
    </tableColumn>
    <tableColumn id="7" xr3:uid="{5A932FBE-0488-496D-A72E-923BBD933C83}" name="Cash Received" totalsRowFunction="sum" dataDxfId="44" totalsRowDxfId="43">
      <calculatedColumnFormula>_xlfn.XLOOKUP($J2,ChargeCode[Property],ChargeCode[Total Cash Collections],"error")</calculatedColumnFormula>
    </tableColumn>
    <tableColumn id="5" xr3:uid="{35248CDC-2DE3-48BD-B2C2-51CBD39E7B71}" name="PA Rev Share" totalsRowFunction="sum" dataDxfId="42" totalsRowDxfId="41">
      <calculatedColumnFormula>Table53[[#This Row],[Cash Received]]-Table53[[#This Row],[AMOUNT]]</calculatedColumnFormula>
    </tableColumn>
    <tableColumn id="6" xr3:uid="{EF8383A6-F511-460C-BF2A-53D25D4651D6}" name="Transition Date" dataDxfId="40" totalsRowDxfId="39"/>
    <tableColumn id="13" xr3:uid="{163488BE-3344-4075-BA90-9E39EDEE070C}" name="Notes" dataDxfId="38" totalsRowDxfId="3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A5A155-258A-40DF-BBD0-FDC72257FE7B}" name="ChargeCode" displayName="ChargeCode" ref="A1:I73" totalsRowShown="0">
  <autoFilter ref="A1:I73" xr:uid="{84A5A155-258A-40DF-BBD0-FDC72257FE7B}"/>
  <tableColumns count="9">
    <tableColumn id="1" xr3:uid="{144A0C2C-B314-4779-AA6D-085963167CA0}" name="Property"/>
    <tableColumn id="2" xr3:uid="{29659B74-BF9F-4681-8CE0-CAE64FF31A63}" name="Charge Code"/>
    <tableColumn id="3" xr3:uid="{2BBA8520-7E66-4C36-9F15-6DD01B231D2C}" name="GL Account"/>
    <tableColumn id="4" xr3:uid="{993A5161-3123-4FD6-8DB4-AC73923923A6}" name="Total Charges" dataDxfId="36"/>
    <tableColumn id="5" xr3:uid="{288603E0-8592-47B1-B208-7E64328FA17E}" name="Prior Collections"/>
    <tableColumn id="6" xr3:uid="{D7C78FEC-246E-4AED-AEA6-F08BC8D84F37}" name="Current Collections" dataDxfId="35"/>
    <tableColumn id="7" xr3:uid="{28B80EA9-00BF-4AD2-887D-668C1E7BA19D}" name="Total Cash Collections" dataDxfId="34"/>
    <tableColumn id="8" xr3:uid="{B2FA2A14-5918-4D9C-BE6B-A8B26425FEC4}" name="Credits / Concessions"/>
    <tableColumn id="9" xr3:uid="{BDE405A9-43DB-4169-9331-D1535B9D0BA9}" name="Total Collections" dataDxfId="3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C3D0A4-12DE-4CE1-89C5-0412587ACBFB}" name="Table54" displayName="Table54" ref="A1:D92" totalsRowCount="1" headerRowDxfId="32" dataDxfId="30" headerRowBorderDxfId="31" tableBorderDxfId="29">
  <autoFilter ref="A1:D91" xr:uid="{A426E0CB-B8BE-4269-9688-D8DE6B1F977A}"/>
  <tableColumns count="4">
    <tableColumn id="1" xr3:uid="{D6C86194-9385-418E-9F0D-B2234B3CD13A}" name="PROPERTY" dataDxfId="28"/>
    <tableColumn id="2" xr3:uid="{5873E598-21AE-4D61-8B69-72A705DF663C}" name="QTY" totalsRowFunction="sum" dataDxfId="27"/>
    <tableColumn id="3" xr3:uid="{168D780B-75FF-439C-9A6E-DF83ECE9F073}" name="UNIT PRICE" totalsRowFunction="sum" dataDxfId="26"/>
    <tableColumn id="4" xr3:uid="{4E4FF3E0-4691-49B8-BEBA-0E6A833C1F3E}" name="AMOUNT" totalsRowFunction="sum" dataDxfId="25"/>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26E0CB-B8BE-4269-9688-D8DE6B1F977A}" name="Table5" displayName="Table5" ref="A1:D92" totalsRowCount="1" headerRowDxfId="24" dataDxfId="22" headerRowBorderDxfId="23" tableBorderDxfId="21">
  <autoFilter ref="A1:D91" xr:uid="{A426E0CB-B8BE-4269-9688-D8DE6B1F977A}"/>
  <sortState xmlns:xlrd2="http://schemas.microsoft.com/office/spreadsheetml/2017/richdata2" ref="A2:D63">
    <sortCondition ref="A1:A63"/>
  </sortState>
  <tableColumns count="4">
    <tableColumn id="1" xr3:uid="{6C32A9CD-8C57-46B0-A3B8-739166AB7D41}" name="PROPERTY" dataDxfId="20"/>
    <tableColumn id="2" xr3:uid="{6212B4E9-A84A-4379-BAF8-4B3F668E7B33}" name="QTY" totalsRowFunction="sum" dataDxfId="19" totalsRowDxfId="18">
      <calculatedColumnFormula>SUMIFS('Invoice Data'!G:G,'Invoice Data'!B:B,$A2)</calculatedColumnFormula>
    </tableColumn>
    <tableColumn id="3" xr3:uid="{B4317B1F-E044-4514-B955-508BF6EAF4C4}" name="UNIT PRICE" totalsRowFunction="sum" dataDxfId="17" totalsRowDxfId="16"/>
    <tableColumn id="4" xr3:uid="{1D1AD405-A96A-47E3-B130-0D4DBD7368FC}" name="AMOUNT" totalsRowFunction="sum" dataDxfId="15" totalsRowDxfId="14">
      <calculatedColumnFormula>$B2*$C2</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1BF765-5681-4D48-995C-5409D25D2DB4}" name="Table003__Page_17" displayName="Table003__Page_17" ref="A1:H165" totalsRowShown="0">
  <autoFilter ref="A1:H165" xr:uid="{001BF765-5681-4D48-995C-5409D25D2DB4}"/>
  <tableColumns count="8">
    <tableColumn id="1" xr3:uid="{C068718B-4613-4257-BA28-17F576BC24AE}" name="ITEM #"/>
    <tableColumn id="2" xr3:uid="{1596CE26-C03A-4444-842B-7EDBC26FC751}" name="DESCRIPTION" dataDxfId="13"/>
    <tableColumn id="3" xr3:uid="{955F2856-59BE-4F5A-B67B-84E92994C383}" name="UNIT" dataDxfId="12"/>
    <tableColumn id="4" xr3:uid="{978AAC7F-4F40-4ED2-981C-985624086A81}" name="QTY"/>
    <tableColumn id="5" xr3:uid="{02CA2E87-E40D-4963-85E3-3A07FDBE296E}" name="UNIT PRICE"/>
    <tableColumn id="6" xr3:uid="{405649DE-1476-4655-BC78-E883B9B5250C}" name="AMOUNT"/>
    <tableColumn id="7" xr3:uid="{ACF17BD2-3885-4EBE-B739-F226C801DF75}" name="Count (DO NOT DELETE THIS COLUMN" dataDxfId="11">
      <calculatedColumnFormula array="1">SUMPRODUCT(IF($E2=$O$2,$D2*$P$2,IF($E2=$O$3,$D2*$P$3,IF($E2=$O$4,$D2*$P$4,IF($E2=$O$5,$D2*$P$5,IF($E2=$O$6,$D2*$P$6, IF($E2=$O$7,$D2*$P$7,IF($E2=$O$8,$D2*$P$8,IF($E2=$O$9,$D2*$P$9,IF($E2=$O$10,$D2*$P$10,IF($E2=$O$11,$D2*$P$11,IF($E2=$O$12,$D2*$P$12,IF($E2=$O$13,$D2*$P$13,IF($E2=$O$14,$D2*$P$14,IF($E2=$O$15,$D2*$P$15,IF($E2=$O$16,$D2*$P$16,IF($E2=$O$17,$D2*$P$17,IF($E2=$O$18,$D2*$P$18,IF($E2=$O$19,$D2*$P$19,IF($E2=$O$20,$D2*$P$20,IF($E2=$O$21,$D2*$P$21,IF($E2=$O$22,$D2*$P$22,IF($E2=$O$23,$D2*$P$23,IF($E2=$O$24,$D2*$P$24,IF($E2=$O$25,$D2*$P$25,IF($E2=$O$26,$D2*$P$26,IF($E2=$O$27,$D2*$P$27,IF($E2=$O$28,$D2*$P$28,IF($E2=$O$29,$D2*$P$29,IF($E2=$O$30,$D2*$P$30,IF($E2=$O$31,$D2*$P$31,IF($E2=$O$32,$D2*$P$32,IF($E2=$O$33,$D2*$P$33,IF($E2=$O$34,$D2*$P$34,IF($E2=$O$35,$D2*$P$35,n/a)))))))))))))))))))))))))))))))))))</calculatedColumnFormula>
    </tableColumn>
    <tableColumn id="8" xr3:uid="{A21D1EBE-CC9D-4AA8-816E-C5E593D730CC}" name="Reversals (DO NOT DELETE)" dataDxfId="10" totalsRowDxfId="9">
      <calculatedColumnFormula>IF($E2&lt;0,$G2*10,0)</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342F8-9107-45E7-B541-2E3278B8DB54}" name="Table1" displayName="Table1" ref="M1:P35" totalsRowShown="0" headerRowDxfId="8" tableBorderDxfId="7">
  <autoFilter ref="M1:P35" xr:uid="{1EE342F8-9107-45E7-B541-2E3278B8DB54}"/>
  <tableColumns count="4">
    <tableColumn id="1" xr3:uid="{87898FCD-CDC4-405F-862B-C23CDEE8CB0F}" name="GUIDE FOR WORKBOOK" dataDxfId="6"/>
    <tableColumn id="2" xr3:uid="{7B24D5AF-DEE3-4815-A41A-2FBC4B42A7DE}" name="Column1"/>
    <tableColumn id="3" xr3:uid="{5EA1EABA-BF0E-4AD0-9F04-6126F03C9C58}" name="Rate"/>
    <tableColumn id="4" xr3:uid="{F27F8585-8BAD-49A7-977C-48C67CB561C0}" name="Multiplier" dataDxfId="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C531-C44D-4BC9-8D3B-668A72112D2B}">
  <dimension ref="A1:J78"/>
  <sheetViews>
    <sheetView tabSelected="1" workbookViewId="0">
      <pane ySplit="1" topLeftCell="A2" activePane="bottomLeft" state="frozen"/>
      <selection pane="bottomLeft" activeCell="G20" sqref="G20"/>
    </sheetView>
  </sheetViews>
  <sheetFormatPr defaultRowHeight="15" x14ac:dyDescent="0.25"/>
  <cols>
    <col min="1" max="1" width="48.42578125" bestFit="1" customWidth="1"/>
    <col min="2" max="2" width="7.140625" bestFit="1" customWidth="1"/>
    <col min="3" max="3" width="12.85546875" bestFit="1" customWidth="1"/>
    <col min="4" max="4" width="25.140625" customWidth="1"/>
    <col min="5" max="5" width="16.42578125" bestFit="1" customWidth="1"/>
    <col min="6" max="6" width="23.85546875" bestFit="1" customWidth="1"/>
    <col min="7" max="7" width="31.140625" customWidth="1"/>
    <col min="8" max="8" width="36.140625" bestFit="1" customWidth="1"/>
    <col min="9" max="9" width="43.140625" bestFit="1" customWidth="1"/>
    <col min="10" max="10" width="8.7109375" customWidth="1"/>
  </cols>
  <sheetData>
    <row r="1" spans="1:10" x14ac:dyDescent="0.25">
      <c r="A1" s="2" t="s">
        <v>0</v>
      </c>
      <c r="B1" s="2" t="s">
        <v>1</v>
      </c>
      <c r="C1" s="2" t="s">
        <v>2</v>
      </c>
      <c r="D1" t="s">
        <v>3</v>
      </c>
      <c r="E1" t="s">
        <v>4</v>
      </c>
      <c r="F1" t="s">
        <v>5</v>
      </c>
      <c r="G1" s="4" t="s">
        <v>6</v>
      </c>
    </row>
    <row r="2" spans="1:10" x14ac:dyDescent="0.25">
      <c r="A2" s="1" t="s">
        <v>7</v>
      </c>
      <c r="B2" s="1">
        <f>SUMIFS('Count Workbook (sans para.)'!B:B,'Count Workbook (sans para.)'!A:A,$A2)</f>
        <v>579</v>
      </c>
      <c r="C2" s="1">
        <f>SUMIFS('Count Workbook (sans para.)'!D:D,'Count Workbook (sans para.)'!A:A,$A2)</f>
        <v>4545.1499999999996</v>
      </c>
      <c r="D2" s="3">
        <f>_xlfn.XLOOKUP($J2,ChargeCode[Property],ChargeCode[Total Cash Collections],"error")</f>
        <v>5630</v>
      </c>
      <c r="E2" s="1">
        <f>Table53[[#This Row],[Cash Received]]-Table53[[#This Row],[AMOUNT]]</f>
        <v>1084.8500000000004</v>
      </c>
      <c r="F2" s="1"/>
      <c r="G2" s="1"/>
      <c r="I2" t="str">
        <f>Table53[[#This Row],[PROPERTY]]</f>
        <v>48 West - Rent Plus Services</v>
      </c>
      <c r="J2" t="s">
        <v>8</v>
      </c>
    </row>
    <row r="3" spans="1:10" x14ac:dyDescent="0.25">
      <c r="A3" s="1" t="s">
        <v>9</v>
      </c>
      <c r="B3" s="1">
        <f>SUMIFS('Count Workbook (sans para.)'!B:B,'Count Workbook (sans para.)'!A:A,$A3)</f>
        <v>53</v>
      </c>
      <c r="C3" s="1">
        <f>SUMIFS('Count Workbook (sans para.)'!D:D,'Count Workbook (sans para.)'!A:A,$A3)</f>
        <v>432.45</v>
      </c>
      <c r="D3" s="3">
        <f>_xlfn.XLOOKUP($J3,ChargeCode[Property],ChargeCode[Total Cash Collections],"error")</f>
        <v>502.92</v>
      </c>
      <c r="E3" s="1">
        <f>Table53[[#This Row],[Cash Received]]-Table53[[#This Row],[AMOUNT]]</f>
        <v>70.470000000000027</v>
      </c>
      <c r="F3" s="1"/>
      <c r="G3" s="1"/>
      <c r="I3" t="str">
        <f>Table53[[#This Row],[PROPERTY]]</f>
        <v>555 Boulevard - Rent Plus Services</v>
      </c>
      <c r="J3" t="s">
        <v>10</v>
      </c>
    </row>
    <row r="4" spans="1:10" x14ac:dyDescent="0.25">
      <c r="A4" s="1" t="s">
        <v>11</v>
      </c>
      <c r="B4" s="1">
        <f>SUMIFS('Count Workbook (sans para.)'!B:B,'Count Workbook (sans para.)'!A:A,$A4)</f>
        <v>118</v>
      </c>
      <c r="C4" s="1">
        <f>SUMIFS('Count Workbook (sans para.)'!D:D,'Count Workbook (sans para.)'!A:A,$A4)</f>
        <v>926.3</v>
      </c>
      <c r="D4" s="3">
        <f>_xlfn.XLOOKUP($J4,ChargeCode[Property],ChargeCode[Total Cash Collections],"error")</f>
        <v>1075.94</v>
      </c>
      <c r="E4" s="1">
        <f>Table53[[#This Row],[Cash Received]]-Table53[[#This Row],[AMOUNT]]</f>
        <v>149.6400000000001</v>
      </c>
      <c r="F4" s="1"/>
      <c r="G4" s="1"/>
      <c r="I4" t="str">
        <f>Table53[[#This Row],[PROPERTY]]</f>
        <v>698 Prospect - Rent Plus Services</v>
      </c>
      <c r="J4" t="s">
        <v>12</v>
      </c>
    </row>
    <row r="5" spans="1:10" x14ac:dyDescent="0.25">
      <c r="A5" s="1" t="s">
        <v>13</v>
      </c>
      <c r="B5" s="1">
        <f>SUMIFS('Count Workbook (sans para.)'!B:B,'Count Workbook (sans para.)'!A:A,$A5)</f>
        <v>37</v>
      </c>
      <c r="C5" s="1">
        <f>SUMIFS('Count Workbook (sans para.)'!D:D,'Count Workbook (sans para.)'!A:A,$A5)</f>
        <v>290.45</v>
      </c>
      <c r="D5" s="3">
        <f>_xlfn.XLOOKUP($J5,ChargeCode[Property],ChargeCode[Total Cash Collections],"error")</f>
        <v>340</v>
      </c>
      <c r="E5" s="1">
        <f>Table53[[#This Row],[Cash Received]]-Table53[[#This Row],[AMOUNT]]</f>
        <v>49.550000000000011</v>
      </c>
      <c r="F5" s="1"/>
      <c r="G5" s="1"/>
      <c r="I5" t="str">
        <f>Table53[[#This Row],[PROPERTY]]</f>
        <v>Auden Upstate - Rent Plus Services</v>
      </c>
      <c r="J5" t="s">
        <v>14</v>
      </c>
    </row>
    <row r="6" spans="1:10" x14ac:dyDescent="0.25">
      <c r="A6" s="1" t="s">
        <v>15</v>
      </c>
      <c r="B6" s="1">
        <f>SUMIFS('Count Workbook (sans para.)'!B:B,'Count Workbook (sans para.)'!A:A,$A6)</f>
        <v>133</v>
      </c>
      <c r="C6" s="1">
        <f>SUMIFS('Count Workbook (sans para.)'!D:D,'Count Workbook (sans para.)'!A:A,$A6)</f>
        <v>1058.6499999999999</v>
      </c>
      <c r="D6" s="3">
        <f>_xlfn.XLOOKUP($J6,ChargeCode[Property],ChargeCode[Total Cash Collections],"error")</f>
        <v>817.72</v>
      </c>
      <c r="E6" s="1">
        <f>Table53[[#This Row],[Cash Received]]-Table53[[#This Row],[AMOUNT]]</f>
        <v>-240.92999999999984</v>
      </c>
      <c r="F6" s="1"/>
      <c r="G6" s="1"/>
      <c r="I6" t="str">
        <f>Table53[[#This Row],[PROPERTY]]</f>
        <v>Beach Club - Rent Plus Services</v>
      </c>
      <c r="J6" t="s">
        <v>16</v>
      </c>
    </row>
    <row r="7" spans="1:10" x14ac:dyDescent="0.25">
      <c r="A7" s="1" t="s">
        <v>17</v>
      </c>
      <c r="B7" s="1">
        <f>SUMIFS('Count Workbook (sans para.)'!B:B,'Count Workbook (sans para.)'!A:A,$A7)</f>
        <v>369</v>
      </c>
      <c r="C7" s="1">
        <f>SUMIFS('Count Workbook (sans para.)'!D:D,'Count Workbook (sans para.)'!A:A,$A7)</f>
        <v>2896.65</v>
      </c>
      <c r="D7" s="3">
        <f>_xlfn.XLOOKUP($J7,ChargeCode[Property],ChargeCode[Total Cash Collections],"error")</f>
        <v>3530</v>
      </c>
      <c r="E7" s="1">
        <f>Table53[[#This Row],[Cash Received]]-Table53[[#This Row],[AMOUNT]]</f>
        <v>633.34999999999991</v>
      </c>
      <c r="F7" s="1"/>
      <c r="G7" s="1"/>
      <c r="I7" t="str">
        <f>Table53[[#This Row],[PROPERTY]]</f>
        <v>Bixby Kennesaw - Rent Plus Services</v>
      </c>
      <c r="J7" t="s">
        <v>18</v>
      </c>
    </row>
    <row r="8" spans="1:10" x14ac:dyDescent="0.25">
      <c r="A8" s="1" t="s">
        <v>19</v>
      </c>
      <c r="B8" s="1">
        <f>SUMIFS('Count Workbook (sans para.)'!B:B,'Count Workbook (sans para.)'!A:A,$A8)</f>
        <v>375</v>
      </c>
      <c r="C8" s="1">
        <f>SUMIFS('Count Workbook (sans para.)'!D:D,'Count Workbook (sans para.)'!A:A,$A8)</f>
        <v>2301.75</v>
      </c>
      <c r="D8" s="3">
        <f>_xlfn.XLOOKUP($J8,ChargeCode[Property],ChargeCode[Total Cash Collections],"error")</f>
        <v>3389</v>
      </c>
      <c r="E8" s="1">
        <f>Table53[[#This Row],[Cash Received]]-Table53[[#This Row],[AMOUNT]]</f>
        <v>1087.25</v>
      </c>
      <c r="F8" s="1"/>
      <c r="G8" s="1"/>
      <c r="I8" t="str">
        <f>Table53[[#This Row],[PROPERTY]]</f>
        <v>Brooks at Stillwater - Rent Plus Services</v>
      </c>
      <c r="J8" t="s">
        <v>20</v>
      </c>
    </row>
    <row r="9" spans="1:10" x14ac:dyDescent="0.25">
      <c r="A9" s="1" t="s">
        <v>21</v>
      </c>
      <c r="B9" s="1">
        <f>SUMIFS('Count Workbook (sans para.)'!B:B,'Count Workbook (sans para.)'!A:A,$A9)</f>
        <v>164</v>
      </c>
      <c r="C9" s="1">
        <f>SUMIFS('Count Workbook (sans para.)'!D:D,'Count Workbook (sans para.)'!A:A,$A9)</f>
        <v>1283.4000000000001</v>
      </c>
      <c r="D9" s="3">
        <f>_xlfn.XLOOKUP($J9,ChargeCode[Property],ChargeCode[Total Cash Collections],"error")</f>
        <v>1537</v>
      </c>
      <c r="E9" s="1">
        <f>Table53[[#This Row],[Cash Received]]-Table53[[#This Row],[AMOUNT]]</f>
        <v>253.59999999999991</v>
      </c>
      <c r="F9" s="1"/>
      <c r="G9" s="1"/>
      <c r="I9" t="str">
        <f>Table53[[#This Row],[PROPERTY]]</f>
        <v>Campus Creek Cottages - Rent Plus Services</v>
      </c>
      <c r="J9" t="s">
        <v>22</v>
      </c>
    </row>
    <row r="10" spans="1:10" x14ac:dyDescent="0.25">
      <c r="A10" s="1" t="s">
        <v>23</v>
      </c>
      <c r="B10" s="1">
        <f>SUMIFS('Count Workbook (sans para.)'!B:B,'Count Workbook (sans para.)'!A:A,$A10)</f>
        <v>101</v>
      </c>
      <c r="C10" s="1">
        <f>SUMIFS('Count Workbook (sans para.)'!D:D,'Count Workbook (sans para.)'!A:A,$A10)</f>
        <v>789.84999999999991</v>
      </c>
      <c r="D10" s="3">
        <f>_xlfn.XLOOKUP($J10,ChargeCode[Property],ChargeCode[Total Cash Collections],"error")</f>
        <v>937</v>
      </c>
      <c r="E10" s="1">
        <f>Table53[[#This Row],[Cash Received]]-Table53[[#This Row],[AMOUNT]]</f>
        <v>147.15000000000009</v>
      </c>
      <c r="F10" s="1"/>
      <c r="G10" s="1"/>
      <c r="I10" t="str">
        <f>Table53[[#This Row],[PROPERTY]]</f>
        <v>Campus Creek Townhomes - Rent Plus Services</v>
      </c>
      <c r="J10" t="s">
        <v>24</v>
      </c>
    </row>
    <row r="11" spans="1:10" x14ac:dyDescent="0.25">
      <c r="A11" s="1" t="s">
        <v>25</v>
      </c>
      <c r="B11" s="1">
        <f>SUMIFS('Count Workbook (sans para.)'!B:B,'Count Workbook (sans para.)'!A:A,$A11)</f>
        <v>46</v>
      </c>
      <c r="C11" s="1">
        <f>SUMIFS('Count Workbook (sans para.)'!D:D,'Count Workbook (sans para.)'!A:A,$A11)</f>
        <v>376.79999999999995</v>
      </c>
      <c r="D11" s="3">
        <f>_xlfn.XLOOKUP($J11,ChargeCode[Property],ChargeCode[Total Cash Collections],"error")</f>
        <v>423.95</v>
      </c>
      <c r="E11" s="1">
        <f>Table53[[#This Row],[Cash Received]]-Table53[[#This Row],[AMOUNT]]</f>
        <v>47.150000000000034</v>
      </c>
      <c r="F11" s="1"/>
      <c r="G11" s="1"/>
      <c r="I11" t="str">
        <f>Table53[[#This Row],[PROPERTY]]</f>
        <v>Castleberry Park - Rent Plus Services</v>
      </c>
      <c r="J11" t="s">
        <v>26</v>
      </c>
    </row>
    <row r="12" spans="1:10" x14ac:dyDescent="0.25">
      <c r="A12" s="1" t="s">
        <v>27</v>
      </c>
      <c r="B12" s="1">
        <f>SUMIFS('Count Workbook (sans para.)'!B:B,'Count Workbook (sans para.)'!A:A,$A12)</f>
        <v>4</v>
      </c>
      <c r="C12" s="1">
        <f>SUMIFS('Count Workbook (sans para.)'!D:D,'Count Workbook (sans para.)'!A:A,$A12)</f>
        <v>31.4</v>
      </c>
      <c r="D12" s="3">
        <f>_xlfn.XLOOKUP($J12,ChargeCode[Property],ChargeCode[Total Cash Collections],"error")</f>
        <v>40</v>
      </c>
      <c r="E12" s="1">
        <f>Table53[[#This Row],[Cash Received]]-Table53[[#This Row],[AMOUNT]]</f>
        <v>8.6000000000000014</v>
      </c>
      <c r="F12" s="1"/>
      <c r="G12" s="1"/>
      <c r="I12" t="str">
        <f>Table53[[#This Row],[PROPERTY]]</f>
        <v>Chateau on Wells - Rent Plus Services</v>
      </c>
      <c r="J12" t="s">
        <v>28</v>
      </c>
    </row>
    <row r="13" spans="1:10" x14ac:dyDescent="0.25">
      <c r="A13" s="1" t="s">
        <v>29</v>
      </c>
      <c r="B13" s="1">
        <f>SUMIFS('Count Workbook (sans para.)'!B:B,'Count Workbook (sans para.)'!A:A,$A13)</f>
        <v>232</v>
      </c>
      <c r="C13" s="1">
        <f>SUMIFS('Count Workbook (sans para.)'!D:D,'Count Workbook (sans para.)'!A:A,$A13)</f>
        <v>1821.1999999999998</v>
      </c>
      <c r="D13" s="3">
        <f>_xlfn.XLOOKUP($J13,ChargeCode[Property],ChargeCode[Total Cash Collections],"error")</f>
        <v>2320</v>
      </c>
      <c r="E13" s="1">
        <f>Table53[[#This Row],[Cash Received]]-Table53[[#This Row],[AMOUNT]]</f>
        <v>498.80000000000018</v>
      </c>
      <c r="F13" s="1"/>
      <c r="G13" s="1"/>
      <c r="I13" t="str">
        <f>Table53[[#This Row],[PROPERTY]]</f>
        <v>Clemson Edge - Rent Plus Services</v>
      </c>
      <c r="J13" t="s">
        <v>30</v>
      </c>
    </row>
    <row r="14" spans="1:10" x14ac:dyDescent="0.25">
      <c r="A14" s="1" t="s">
        <v>31</v>
      </c>
      <c r="B14" s="1">
        <f>SUMIFS('Count Workbook (sans para.)'!B:B,'Count Workbook (sans para.)'!A:A,$A14)</f>
        <v>571</v>
      </c>
      <c r="C14" s="1">
        <f>SUMIFS('Count Workbook (sans para.)'!D:D,'Count Workbook (sans para.)'!A:A,$A14)</f>
        <v>4482.3499999999995</v>
      </c>
      <c r="D14" s="3">
        <f>_xlfn.XLOOKUP($J14,ChargeCode[Property],ChargeCode[Total Cash Collections],"error")</f>
        <v>5580</v>
      </c>
      <c r="E14" s="1">
        <f>Table53[[#This Row],[Cash Received]]-Table53[[#This Row],[AMOUNT]]</f>
        <v>1097.6500000000005</v>
      </c>
      <c r="F14" s="1"/>
      <c r="G14" s="1"/>
      <c r="I14" t="str">
        <f>Table53[[#This Row],[PROPERTY]]</f>
        <v>Cobalt Row - Rent Plus Services</v>
      </c>
      <c r="J14" t="s">
        <v>32</v>
      </c>
    </row>
    <row r="15" spans="1:10" x14ac:dyDescent="0.25">
      <c r="A15" s="1" t="s">
        <v>33</v>
      </c>
      <c r="B15" s="1">
        <f>SUMIFS('Count Workbook (sans para.)'!B:B,'Count Workbook (sans para.)'!A:A,$A15)</f>
        <v>198</v>
      </c>
      <c r="C15" s="1">
        <f>SUMIFS('Count Workbook (sans para.)'!D:D,'Count Workbook (sans para.)'!A:A,$A15)</f>
        <v>1554.3</v>
      </c>
      <c r="D15" s="3">
        <f>_xlfn.XLOOKUP($J15,ChargeCode[Property],ChargeCode[Total Cash Collections],"error")</f>
        <v>1790</v>
      </c>
      <c r="E15" s="1">
        <f>Table53[[#This Row],[Cash Received]]-Table53[[#This Row],[AMOUNT]]</f>
        <v>235.70000000000005</v>
      </c>
      <c r="F15" s="1"/>
      <c r="G15" s="1"/>
      <c r="I15" t="str">
        <f>Table53[[#This Row],[PROPERTY]]</f>
        <v>College Town Apartments - Rent Plus Services</v>
      </c>
      <c r="J15" t="s">
        <v>34</v>
      </c>
    </row>
    <row r="16" spans="1:10" x14ac:dyDescent="0.25">
      <c r="A16" s="1" t="s">
        <v>35</v>
      </c>
      <c r="B16" s="1">
        <f>SUMIFS('Count Workbook (sans para.)'!B:B,'Count Workbook (sans para.)'!A:A,$A16)</f>
        <v>471</v>
      </c>
      <c r="C16" s="1">
        <f>SUMIFS('Count Workbook (sans para.)'!D:D,'Count Workbook (sans para.)'!A:A,$A16)</f>
        <v>3697.35</v>
      </c>
      <c r="D16" s="3">
        <f>_xlfn.XLOOKUP($J16,ChargeCode[Property],ChargeCode[Total Cash Collections],"error")</f>
        <v>4730</v>
      </c>
      <c r="E16" s="1">
        <f>Table53[[#This Row],[Cash Received]]-Table53[[#This Row],[AMOUNT]]</f>
        <v>1032.6500000000001</v>
      </c>
      <c r="F16" s="1"/>
      <c r="G16" s="1"/>
      <c r="I16" t="str">
        <f>Table53[[#This Row],[PROPERTY]]</f>
        <v>Cottages at Tucson - Rent Plus Services</v>
      </c>
      <c r="J16" t="s">
        <v>36</v>
      </c>
    </row>
    <row r="17" spans="1:10" x14ac:dyDescent="0.25">
      <c r="A17" s="1" t="s">
        <v>37</v>
      </c>
      <c r="B17" s="1">
        <f>SUMIFS('Count Workbook (sans para.)'!B:B,'Count Workbook (sans para.)'!A:A,$A17)</f>
        <v>39</v>
      </c>
      <c r="C17" s="1">
        <f>SUMIFS('Count Workbook (sans para.)'!D:D,'Count Workbook (sans para.)'!A:A,$A17)</f>
        <v>280.14999999999998</v>
      </c>
      <c r="D17" s="3">
        <f>_xlfn.XLOOKUP($J17,ChargeCode[Property],ChargeCode[Total Cash Collections],"error")</f>
        <v>354</v>
      </c>
      <c r="E17" s="1">
        <f>Table53[[#This Row],[Cash Received]]-Table53[[#This Row],[AMOUNT]]</f>
        <v>73.850000000000023</v>
      </c>
      <c r="F17" s="1"/>
      <c r="G17" s="1"/>
      <c r="I17" t="str">
        <f>Table53[[#This Row],[PROPERTY]]</f>
        <v>Everly on The Loop - Rent Plus Services</v>
      </c>
      <c r="J17" t="s">
        <v>38</v>
      </c>
    </row>
    <row r="18" spans="1:10" x14ac:dyDescent="0.25">
      <c r="A18" s="1" t="s">
        <v>39</v>
      </c>
      <c r="B18" s="1">
        <f>SUMIFS('Count Workbook (sans para.)'!B:B,'Count Workbook (sans para.)'!A:A,$A18)</f>
        <v>64</v>
      </c>
      <c r="C18" s="1">
        <f>SUMIFS('Count Workbook (sans para.)'!D:D,'Count Workbook (sans para.)'!A:A,$A18)</f>
        <v>502.4</v>
      </c>
      <c r="D18" s="3">
        <f>_xlfn.XLOOKUP($J18,ChargeCode[Property],ChargeCode[Total Cash Collections],"error")</f>
        <v>640</v>
      </c>
      <c r="E18" s="1">
        <f>Table53[[#This Row],[Cash Received]]-Table53[[#This Row],[AMOUNT]]</f>
        <v>137.60000000000002</v>
      </c>
      <c r="F18" s="1"/>
      <c r="G18" s="1"/>
      <c r="I18" t="str">
        <f>Table53[[#This Row],[PROPERTY]]</f>
        <v>Fifteen51 - Rent Plus Services</v>
      </c>
      <c r="J18" t="s">
        <v>40</v>
      </c>
    </row>
    <row r="19" spans="1:10" x14ac:dyDescent="0.25">
      <c r="A19" s="1" t="s">
        <v>41</v>
      </c>
      <c r="B19" s="1">
        <f>SUMIFS('Count Workbook (sans para.)'!B:B,'Count Workbook (sans para.)'!A:A,$A19)</f>
        <v>12</v>
      </c>
      <c r="C19" s="1">
        <f>SUMIFS('Count Workbook (sans para.)'!D:D,'Count Workbook (sans para.)'!A:A,$A19)</f>
        <v>82.199999999999989</v>
      </c>
      <c r="D19" s="3">
        <f>_xlfn.XLOOKUP($J19,ChargeCode[Property],ChargeCode[Total Cash Collections],"error")</f>
        <v>108</v>
      </c>
      <c r="E19" s="1">
        <f>Table53[[#This Row],[Cash Received]]-Table53[[#This Row],[AMOUNT]]</f>
        <v>25.800000000000011</v>
      </c>
      <c r="F19" s="1"/>
      <c r="G19" s="1"/>
      <c r="I19" t="str">
        <f>Table53[[#This Row],[PROPERTY]]</f>
        <v>Hamilton Court - Rent Plus Services</v>
      </c>
      <c r="J19" t="s">
        <v>42</v>
      </c>
    </row>
    <row r="20" spans="1:10" x14ac:dyDescent="0.25">
      <c r="A20" s="1" t="s">
        <v>43</v>
      </c>
      <c r="B20" s="1">
        <f>SUMIFS('Count Workbook (sans para.)'!B:B,'Count Workbook (sans para.)'!A:A,$A20)</f>
        <v>424</v>
      </c>
      <c r="C20" s="1">
        <f>SUMIFS('Count Workbook (sans para.)'!D:D,'Count Workbook (sans para.)'!A:A,$A20)</f>
        <v>2542.3999999999996</v>
      </c>
      <c r="D20" s="3">
        <f>_xlfn.XLOOKUP($J20,ChargeCode[Property],ChargeCode[Total Cash Collections],"error")</f>
        <v>3435</v>
      </c>
      <c r="E20" s="1">
        <f>Table53[[#This Row],[Cash Received]]-Table53[[#This Row],[AMOUNT]]</f>
        <v>892.60000000000036</v>
      </c>
      <c r="F20" s="1"/>
      <c r="G20" s="1"/>
      <c r="I20" t="str">
        <f>Table53[[#This Row],[PROPERTY]]</f>
        <v>Hannah Townhomes &amp; Lofts - Rent Plus Services</v>
      </c>
      <c r="J20" t="s">
        <v>44</v>
      </c>
    </row>
    <row r="21" spans="1:10" x14ac:dyDescent="0.25">
      <c r="A21" s="1" t="s">
        <v>45</v>
      </c>
      <c r="B21" s="1">
        <f>SUMIFS('Count Workbook (sans para.)'!B:B,'Count Workbook (sans para.)'!A:A,$A21)</f>
        <v>271</v>
      </c>
      <c r="C21" s="1">
        <f>SUMIFS('Count Workbook (sans para.)'!D:D,'Count Workbook (sans para.)'!A:A,$A21)</f>
        <v>2127.35</v>
      </c>
      <c r="D21" s="3">
        <f>_xlfn.XLOOKUP($J21,ChargeCode[Property],ChargeCode[Total Cash Collections],"error")</f>
        <v>2660</v>
      </c>
      <c r="E21" s="1">
        <f>Table53[[#This Row],[Cash Received]]-Table53[[#This Row],[AMOUNT]]</f>
        <v>532.65000000000009</v>
      </c>
      <c r="F21" s="1"/>
      <c r="G21" s="1"/>
      <c r="I21" t="str">
        <f>Table53[[#This Row],[PROPERTY]]</f>
        <v>Hawks Landing - Rent Plus Services</v>
      </c>
      <c r="J21" t="s">
        <v>46</v>
      </c>
    </row>
    <row r="22" spans="1:10" x14ac:dyDescent="0.25">
      <c r="A22" s="1" t="s">
        <v>47</v>
      </c>
      <c r="B22" s="1">
        <f>SUMIFS('Count Workbook (sans para.)'!B:B,'Count Workbook (sans para.)'!A:A,$A22)</f>
        <v>134</v>
      </c>
      <c r="C22" s="1">
        <f>SUMIFS('Count Workbook (sans para.)'!D:D,'Count Workbook (sans para.)'!A:A,$A22)</f>
        <v>1051.8999999999999</v>
      </c>
      <c r="D22" s="3">
        <f>_xlfn.XLOOKUP($J22,ChargeCode[Property],ChargeCode[Total Cash Collections],"error")</f>
        <v>1300</v>
      </c>
      <c r="E22" s="1">
        <f>Table53[[#This Row],[Cash Received]]-Table53[[#This Row],[AMOUNT]]</f>
        <v>248.10000000000014</v>
      </c>
      <c r="F22" s="1"/>
      <c r="G22" s="1"/>
      <c r="I22" t="str">
        <f>Table53[[#This Row],[PROPERTY]]</f>
        <v>i5 Wynwood - Rent Plus Services</v>
      </c>
      <c r="J22" t="s">
        <v>48</v>
      </c>
    </row>
    <row r="23" spans="1:10" x14ac:dyDescent="0.25">
      <c r="A23" s="1" t="s">
        <v>49</v>
      </c>
      <c r="B23" s="1">
        <f>SUMIFS('Count Workbook (sans para.)'!B:B,'Count Workbook (sans para.)'!A:A,$A23)</f>
        <v>177</v>
      </c>
      <c r="C23" s="1">
        <f>SUMIFS('Count Workbook (sans para.)'!D:D,'Count Workbook (sans para.)'!A:A,$A23)</f>
        <v>1389.45</v>
      </c>
      <c r="D23" s="3">
        <f>_xlfn.XLOOKUP($J23,ChargeCode[Property],ChargeCode[Total Cash Collections],"error")</f>
        <v>1730</v>
      </c>
      <c r="E23" s="1">
        <f>Table53[[#This Row],[Cash Received]]-Table53[[#This Row],[AMOUNT]]</f>
        <v>340.54999999999995</v>
      </c>
      <c r="F23" s="1"/>
      <c r="G23" s="1"/>
      <c r="I23" t="str">
        <f>Table53[[#This Row],[PROPERTY]]</f>
        <v>Muse on Main - Rent Plus Services</v>
      </c>
      <c r="J23" t="s">
        <v>50</v>
      </c>
    </row>
    <row r="24" spans="1:10" x14ac:dyDescent="0.25">
      <c r="A24" s="1" t="s">
        <v>51</v>
      </c>
      <c r="B24" s="1">
        <f>SUMIFS('Count Workbook (sans para.)'!B:B,'Count Workbook (sans para.)'!A:A,$A24)</f>
        <v>248</v>
      </c>
      <c r="C24" s="1">
        <f>SUMIFS('Count Workbook (sans para.)'!D:D,'Count Workbook (sans para.)'!A:A,$A24)</f>
        <v>1946.8</v>
      </c>
      <c r="D24" s="3">
        <f>_xlfn.XLOOKUP($J24,ChargeCode[Property],ChargeCode[Total Cash Collections],"error")</f>
        <v>2614.1</v>
      </c>
      <c r="E24" s="1">
        <f>Table53[[#This Row],[Cash Received]]-Table53[[#This Row],[AMOUNT]]</f>
        <v>667.3</v>
      </c>
      <c r="F24" s="1"/>
      <c r="G24" s="1"/>
      <c r="I24" t="str">
        <f>Table53[[#This Row],[PROPERTY]]</f>
        <v>Paloma Kent - Rent Plus Services</v>
      </c>
      <c r="J24" t="s">
        <v>52</v>
      </c>
    </row>
    <row r="25" spans="1:10" x14ac:dyDescent="0.25">
      <c r="A25" s="1" t="s">
        <v>53</v>
      </c>
      <c r="B25" s="1">
        <f>SUMIFS('Count Workbook (sans para.)'!B:B,'Count Workbook (sans para.)'!A:A,$A25)</f>
        <v>287</v>
      </c>
      <c r="C25" s="1">
        <f>SUMIFS('Count Workbook (sans para.)'!D:D,'Count Workbook (sans para.)'!A:A,$A25)</f>
        <v>2252.9499999999998</v>
      </c>
      <c r="D25" s="3">
        <f>_xlfn.XLOOKUP($J25,ChargeCode[Property],ChargeCode[Total Cash Collections],"error")</f>
        <v>2860</v>
      </c>
      <c r="E25" s="1">
        <f>Table53[[#This Row],[Cash Received]]-Table53[[#This Row],[AMOUNT]]</f>
        <v>607.05000000000018</v>
      </c>
      <c r="F25" s="1"/>
      <c r="G25" s="1"/>
      <c r="I25" t="str">
        <f>Table53[[#This Row],[PROPERTY]]</f>
        <v>Paloma Raleigh - Rent Plus Services</v>
      </c>
      <c r="J25" t="s">
        <v>54</v>
      </c>
    </row>
    <row r="26" spans="1:10" x14ac:dyDescent="0.25">
      <c r="A26" s="1" t="s">
        <v>55</v>
      </c>
      <c r="B26" s="1">
        <f>SUMIFS('Count Workbook (sans para.)'!B:B,'Count Workbook (sans para.)'!A:A,$A26)</f>
        <v>242</v>
      </c>
      <c r="C26" s="1">
        <f>SUMIFS('Count Workbook (sans para.)'!D:D,'Count Workbook (sans para.)'!A:A,$A26)</f>
        <v>1899.6999999999998</v>
      </c>
      <c r="D26" s="3">
        <f>_xlfn.XLOOKUP($J26,ChargeCode[Property],ChargeCode[Total Cash Collections],"error")</f>
        <v>2370</v>
      </c>
      <c r="E26" s="1">
        <f>Table53[[#This Row],[Cash Received]]-Table53[[#This Row],[AMOUNT]]</f>
        <v>470.30000000000018</v>
      </c>
      <c r="F26" s="1"/>
      <c r="G26" s="1"/>
      <c r="I26" t="str">
        <f>Table53[[#This Row],[PROPERTY]]</f>
        <v>Paloma West Midtown - Rent Plus Services</v>
      </c>
      <c r="J26" t="s">
        <v>56</v>
      </c>
    </row>
    <row r="27" spans="1:10" x14ac:dyDescent="0.25">
      <c r="A27" s="1" t="s">
        <v>57</v>
      </c>
      <c r="B27" s="1">
        <f>SUMIFS('Count Workbook (sans para.)'!B:B,'Count Workbook (sans para.)'!A:A,$A27)</f>
        <v>23</v>
      </c>
      <c r="C27" s="1">
        <f>SUMIFS('Count Workbook (sans para.)'!D:D,'Count Workbook (sans para.)'!A:A,$A27)</f>
        <v>180.54999999999998</v>
      </c>
      <c r="D27" s="3">
        <f>_xlfn.XLOOKUP($J27,ChargeCode[Property],ChargeCode[Total Cash Collections],"error")</f>
        <v>240</v>
      </c>
      <c r="E27" s="1">
        <f>Table53[[#This Row],[Cash Received]]-Table53[[#This Row],[AMOUNT]]</f>
        <v>59.450000000000017</v>
      </c>
      <c r="F27" s="1"/>
      <c r="G27" s="1"/>
      <c r="I27" t="str">
        <f>Table53[[#This Row],[PROPERTY]]</f>
        <v>Post Chicago - Rent Plus Services</v>
      </c>
      <c r="J27" t="s">
        <v>58</v>
      </c>
    </row>
    <row r="28" spans="1:10" x14ac:dyDescent="0.25">
      <c r="A28" s="1" t="s">
        <v>59</v>
      </c>
      <c r="B28" s="1">
        <f>SUMIFS('Count Workbook (sans para.)'!B:B,'Count Workbook (sans para.)'!A:A,$A28)</f>
        <v>243</v>
      </c>
      <c r="C28" s="1">
        <f>SUMIFS('Count Workbook (sans para.)'!D:D,'Count Workbook (sans para.)'!A:A,$A28)</f>
        <v>1593.55</v>
      </c>
      <c r="D28" s="3">
        <f>_xlfn.XLOOKUP($J28,ChargeCode[Property],ChargeCode[Total Cash Collections],"error")</f>
        <v>2124</v>
      </c>
      <c r="E28" s="1">
        <f>Table53[[#This Row],[Cash Received]]-Table53[[#This Row],[AMOUNT]]</f>
        <v>530.45000000000005</v>
      </c>
      <c r="F28" s="1"/>
      <c r="G28" s="1"/>
      <c r="I28" t="str">
        <f>Table53[[#This Row],[PROPERTY]]</f>
        <v>Proxi Lawrence - Rent Plus Services</v>
      </c>
      <c r="J28" t="s">
        <v>60</v>
      </c>
    </row>
    <row r="29" spans="1:10" x14ac:dyDescent="0.25">
      <c r="A29" s="1" t="s">
        <v>61</v>
      </c>
      <c r="B29" s="1">
        <f>SUMIFS('Count Workbook (sans para.)'!B:B,'Count Workbook (sans para.)'!A:A,$A29)</f>
        <v>177</v>
      </c>
      <c r="C29" s="1">
        <f>SUMIFS('Count Workbook (sans para.)'!D:D,'Count Workbook (sans para.)'!A:A,$A29)</f>
        <v>1389.45</v>
      </c>
      <c r="D29" s="3">
        <f>_xlfn.XLOOKUP($J29,ChargeCode[Property],ChargeCode[Total Cash Collections],"error")</f>
        <v>1770</v>
      </c>
      <c r="E29" s="1">
        <f>Table53[[#This Row],[Cash Received]]-Table53[[#This Row],[AMOUNT]]</f>
        <v>380.54999999999995</v>
      </c>
      <c r="F29" s="1"/>
      <c r="G29" s="1"/>
      <c r="I29" t="str">
        <f>Table53[[#This Row],[PROPERTY]]</f>
        <v>Rittenhouse Station - Rent Plus Services</v>
      </c>
      <c r="J29" t="s">
        <v>62</v>
      </c>
    </row>
    <row r="30" spans="1:10" x14ac:dyDescent="0.25">
      <c r="A30" s="1" t="s">
        <v>63</v>
      </c>
      <c r="B30" s="1">
        <f>SUMIFS('Count Workbook (sans para.)'!B:B,'Count Workbook (sans para.)'!A:A,$A30)</f>
        <v>178</v>
      </c>
      <c r="C30" s="1">
        <f>SUMIFS('Count Workbook (sans para.)'!D:D,'Count Workbook (sans para.)'!A:A,$A30)</f>
        <v>1337.4499999999998</v>
      </c>
      <c r="D30" s="3">
        <f>_xlfn.XLOOKUP($J30,ChargeCode[Property],ChargeCode[Total Cash Collections],"error")</f>
        <v>1581.2</v>
      </c>
      <c r="E30" s="1">
        <f>Table53[[#This Row],[Cash Received]]-Table53[[#This Row],[AMOUNT]]</f>
        <v>243.75000000000023</v>
      </c>
      <c r="F30" s="1"/>
      <c r="G30" s="1"/>
      <c r="I30" t="str">
        <f>Table53[[#This Row],[PROPERTY]]</f>
        <v>Sky Garden Apartments - Rent Plus Services</v>
      </c>
      <c r="J30" t="s">
        <v>64</v>
      </c>
    </row>
    <row r="31" spans="1:10" x14ac:dyDescent="0.25">
      <c r="A31" s="1" t="s">
        <v>65</v>
      </c>
      <c r="B31" s="1">
        <f>SUMIFS('Count Workbook (sans para.)'!B:B,'Count Workbook (sans para.)'!A:A,$A31)</f>
        <v>1</v>
      </c>
      <c r="C31" s="1">
        <f>SUMIFS('Count Workbook (sans para.)'!D:D,'Count Workbook (sans para.)'!A:A,$A31)</f>
        <v>7.85</v>
      </c>
      <c r="D31" s="3">
        <f>_xlfn.XLOOKUP($J31,ChargeCode[Property],ChargeCode[Total Cash Collections],"error")</f>
        <v>10</v>
      </c>
      <c r="E31" s="1">
        <f>Table53[[#This Row],[Cash Received]]-Table53[[#This Row],[AMOUNT]]</f>
        <v>2.1500000000000004</v>
      </c>
      <c r="F31" s="1"/>
      <c r="G31" s="1"/>
      <c r="I31" t="str">
        <f>Table53[[#This Row],[PROPERTY]]</f>
        <v>SoCam 290 - Rent Plus Services</v>
      </c>
      <c r="J31" t="s">
        <v>66</v>
      </c>
    </row>
    <row r="32" spans="1:10" x14ac:dyDescent="0.25">
      <c r="A32" s="1" t="s">
        <v>67</v>
      </c>
      <c r="B32" s="1">
        <f>SUMIFS('Count Workbook (sans para.)'!B:B,'Count Workbook (sans para.)'!A:A,$A32)</f>
        <v>66</v>
      </c>
      <c r="C32" s="1">
        <f>SUMIFS('Count Workbook (sans para.)'!D:D,'Count Workbook (sans para.)'!A:A,$A32)</f>
        <v>518.1</v>
      </c>
      <c r="D32" s="3">
        <f>_xlfn.XLOOKUP($J32,ChargeCode[Property],ChargeCode[Total Cash Collections],"error")</f>
        <v>630</v>
      </c>
      <c r="E32" s="1">
        <f>Table53[[#This Row],[Cash Received]]-Table53[[#This Row],[AMOUNT]]</f>
        <v>111.89999999999998</v>
      </c>
      <c r="F32" s="1"/>
      <c r="G32" s="1"/>
      <c r="I32" t="str">
        <f>Table53[[#This Row],[PROPERTY]]</f>
        <v>Stadium View - Rent Plus Services</v>
      </c>
      <c r="J32" t="s">
        <v>68</v>
      </c>
    </row>
    <row r="33" spans="1:10" x14ac:dyDescent="0.25">
      <c r="A33" s="1" t="s">
        <v>69</v>
      </c>
      <c r="B33" s="1">
        <f>SUMIFS('Count Workbook (sans para.)'!B:B,'Count Workbook (sans para.)'!A:A,$A33)</f>
        <v>310</v>
      </c>
      <c r="C33" s="1">
        <f>SUMIFS('Count Workbook (sans para.)'!D:D,'Count Workbook (sans para.)'!A:A,$A33)</f>
        <v>2433.5</v>
      </c>
      <c r="D33" s="3">
        <f>_xlfn.XLOOKUP($J33,ChargeCode[Property],ChargeCode[Total Cash Collections],"error")</f>
        <v>3080</v>
      </c>
      <c r="E33" s="1">
        <f>Table53[[#This Row],[Cash Received]]-Table53[[#This Row],[AMOUNT]]</f>
        <v>646.5</v>
      </c>
      <c r="F33" s="1"/>
      <c r="G33" s="1"/>
      <c r="I33" t="str">
        <f>Table53[[#This Row],[PROPERTY]]</f>
        <v>Station 42 - Rent Plus Services</v>
      </c>
      <c r="J33" t="s">
        <v>70</v>
      </c>
    </row>
    <row r="34" spans="1:10" x14ac:dyDescent="0.25">
      <c r="A34" s="1" t="s">
        <v>71</v>
      </c>
      <c r="B34" s="1">
        <f>SUMIFS('Count Workbook (sans para.)'!B:B,'Count Workbook (sans para.)'!A:A,$A34)</f>
        <v>139</v>
      </c>
      <c r="C34" s="1">
        <f>SUMIFS('Count Workbook (sans para.)'!D:D,'Count Workbook (sans para.)'!A:A,$A34)</f>
        <v>1091.1499999999999</v>
      </c>
      <c r="D34" s="3">
        <f>_xlfn.XLOOKUP($J34,ChargeCode[Property],ChargeCode[Total Cash Collections],"error")</f>
        <v>1270</v>
      </c>
      <c r="E34" s="1">
        <f>Table53[[#This Row],[Cash Received]]-Table53[[#This Row],[AMOUNT]]</f>
        <v>178.85000000000014</v>
      </c>
      <c r="F34" s="28"/>
      <c r="G34" s="1"/>
      <c r="I34" t="str">
        <f>Table53[[#This Row],[PROPERTY]]</f>
        <v>Straits Row - Rent Plus Services</v>
      </c>
      <c r="J34" t="s">
        <v>72</v>
      </c>
    </row>
    <row r="35" spans="1:10" x14ac:dyDescent="0.25">
      <c r="A35" s="1" t="s">
        <v>73</v>
      </c>
      <c r="B35" s="1">
        <f>SUMIFS('Count Workbook (sans para.)'!B:B,'Count Workbook (sans para.)'!A:A,$A35)</f>
        <v>135</v>
      </c>
      <c r="C35" s="1">
        <f>SUMIFS('Count Workbook (sans para.)'!D:D,'Count Workbook (sans para.)'!A:A,$A35)</f>
        <v>1059.75</v>
      </c>
      <c r="D35" s="3">
        <f>_xlfn.XLOOKUP($J35,ChargeCode[Property],ChargeCode[Total Cash Collections],"error")</f>
        <v>1310</v>
      </c>
      <c r="E35" s="1">
        <f>Table53[[#This Row],[Cash Received]]-Table53[[#This Row],[AMOUNT]]</f>
        <v>250.25</v>
      </c>
      <c r="F35" s="1"/>
      <c r="G35" s="1"/>
      <c r="I35" t="str">
        <f>Table53[[#This Row],[PROPERTY]]</f>
        <v>Tech Village - Rent Plus Services</v>
      </c>
      <c r="J35" t="s">
        <v>74</v>
      </c>
    </row>
    <row r="36" spans="1:10" x14ac:dyDescent="0.25">
      <c r="A36" s="1" t="s">
        <v>75</v>
      </c>
      <c r="B36" s="1">
        <f>SUMIFS('Count Workbook (sans para.)'!B:B,'Count Workbook (sans para.)'!A:A,$A36)</f>
        <v>125</v>
      </c>
      <c r="C36" s="1">
        <f>SUMIFS('Count Workbook (sans para.)'!D:D,'Count Workbook (sans para.)'!A:A,$A36)</f>
        <v>981.25</v>
      </c>
      <c r="D36" s="3">
        <f>_xlfn.XLOOKUP($J36,ChargeCode[Property],ChargeCode[Total Cash Collections],"error")</f>
        <v>1240</v>
      </c>
      <c r="E36" s="1">
        <f>Table53[[#This Row],[Cash Received]]-Table53[[#This Row],[AMOUNT]]</f>
        <v>258.75</v>
      </c>
      <c r="F36" s="1"/>
      <c r="G36" s="1"/>
      <c r="I36" t="str">
        <f>Table53[[#This Row],[PROPERTY]]</f>
        <v>The Abbot - Rent Plus Services</v>
      </c>
      <c r="J36" t="s">
        <v>76</v>
      </c>
    </row>
    <row r="37" spans="1:10" x14ac:dyDescent="0.25">
      <c r="A37" s="1" t="s">
        <v>77</v>
      </c>
      <c r="B37" s="1">
        <f>SUMIFS('Count Workbook (sans para.)'!B:B,'Count Workbook (sans para.)'!A:A,$A37)</f>
        <v>177</v>
      </c>
      <c r="C37" s="1">
        <f>SUMIFS('Count Workbook (sans para.)'!D:D,'Count Workbook (sans para.)'!A:A,$A37)</f>
        <v>1389.45</v>
      </c>
      <c r="D37" s="3">
        <f>_xlfn.XLOOKUP($J37,ChargeCode[Property],ChargeCode[Total Cash Collections],"error")</f>
        <v>1620</v>
      </c>
      <c r="E37" s="1">
        <f>Table53[[#This Row],[Cash Received]]-Table53[[#This Row],[AMOUNT]]</f>
        <v>230.54999999999995</v>
      </c>
      <c r="F37" s="1"/>
      <c r="G37" s="1"/>
      <c r="I37" t="str">
        <f>Table53[[#This Row],[PROPERTY]]</f>
        <v>The Avenue - Rent Plus Services</v>
      </c>
      <c r="J37" t="s">
        <v>78</v>
      </c>
    </row>
    <row r="38" spans="1:10" x14ac:dyDescent="0.25">
      <c r="A38" s="1" t="s">
        <v>79</v>
      </c>
      <c r="B38" s="1">
        <f>SUMIFS('Count Workbook (sans para.)'!B:B,'Count Workbook (sans para.)'!A:A,$A38)</f>
        <v>201</v>
      </c>
      <c r="C38" s="1">
        <f>SUMIFS('Count Workbook (sans para.)'!D:D,'Count Workbook (sans para.)'!A:A,$A38)</f>
        <v>1577.85</v>
      </c>
      <c r="D38" s="3">
        <f>_xlfn.XLOOKUP($J38,ChargeCode[Property],ChargeCode[Total Cash Collections],"error")</f>
        <v>2010</v>
      </c>
      <c r="E38" s="1">
        <f>Table53[[#This Row],[Cash Received]]-Table53[[#This Row],[AMOUNT]]</f>
        <v>432.15000000000009</v>
      </c>
      <c r="F38" s="1"/>
      <c r="G38" s="1"/>
      <c r="I38" t="str">
        <f>Table53[[#This Row],[PROPERTY]]</f>
        <v>The Bluff at Waterworks Landing - Rent Plus Services</v>
      </c>
      <c r="J38" t="s">
        <v>80</v>
      </c>
    </row>
    <row r="39" spans="1:10" x14ac:dyDescent="0.25">
      <c r="A39" s="1" t="s">
        <v>81</v>
      </c>
      <c r="B39" s="1">
        <f>SUMIFS('Count Workbook (sans para.)'!B:B,'Count Workbook (sans para.)'!A:A,$A39)</f>
        <v>548</v>
      </c>
      <c r="C39" s="1">
        <f>SUMIFS('Count Workbook (sans para.)'!D:D,'Count Workbook (sans para.)'!A:A,$A39)</f>
        <v>4301.8</v>
      </c>
      <c r="D39" s="3">
        <f>_xlfn.XLOOKUP($J39,ChargeCode[Property],ChargeCode[Total Cash Collections],"error")</f>
        <v>5430</v>
      </c>
      <c r="E39" s="1">
        <f>Table53[[#This Row],[Cash Received]]-Table53[[#This Row],[AMOUNT]]</f>
        <v>1128.1999999999998</v>
      </c>
      <c r="F39" s="1"/>
      <c r="G39" s="1"/>
      <c r="I39" t="str">
        <f>Table53[[#This Row],[PROPERTY]]</f>
        <v>The Carmin - Rent Plus Services</v>
      </c>
      <c r="J39" t="s">
        <v>82</v>
      </c>
    </row>
    <row r="40" spans="1:10" x14ac:dyDescent="0.25">
      <c r="A40" s="1" t="s">
        <v>83</v>
      </c>
      <c r="B40" s="1">
        <f>SUMIFS('Count Workbook (sans para.)'!B:B,'Count Workbook (sans para.)'!A:A,$A40)</f>
        <v>805</v>
      </c>
      <c r="C40" s="1">
        <f>SUMIFS('Count Workbook (sans para.)'!D:D,'Count Workbook (sans para.)'!A:A,$A40)</f>
        <v>6181.7</v>
      </c>
      <c r="D40" s="3">
        <f>_xlfn.XLOOKUP($J40,ChargeCode[Property],ChargeCode[Total Cash Collections],"error")</f>
        <v>7904.55</v>
      </c>
      <c r="E40" s="1">
        <f>Table53[[#This Row],[Cash Received]]-Table53[[#This Row],[AMOUNT]]</f>
        <v>1722.8500000000004</v>
      </c>
      <c r="F40" s="1"/>
      <c r="G40" s="1"/>
      <c r="I40" t="str">
        <f>Table53[[#This Row],[PROPERTY]]</f>
        <v>The Cottages of College Station - Rent Plus Services</v>
      </c>
      <c r="J40" t="s">
        <v>84</v>
      </c>
    </row>
    <row r="41" spans="1:10" x14ac:dyDescent="0.25">
      <c r="A41" s="1" t="s">
        <v>85</v>
      </c>
      <c r="B41" s="1">
        <f>SUMIFS('Count Workbook (sans para.)'!B:B,'Count Workbook (sans para.)'!A:A,$A41)</f>
        <v>449</v>
      </c>
      <c r="C41" s="1">
        <f>SUMIFS('Count Workbook (sans para.)'!D:D,'Count Workbook (sans para.)'!A:A,$A41)</f>
        <v>3524.6499999999996</v>
      </c>
      <c r="D41" s="3">
        <f>_xlfn.XLOOKUP($J41,ChargeCode[Property],ChargeCode[Total Cash Collections],"error")</f>
        <v>4480</v>
      </c>
      <c r="E41" s="1">
        <f>Table53[[#This Row],[Cash Received]]-Table53[[#This Row],[AMOUNT]]</f>
        <v>955.35000000000036</v>
      </c>
      <c r="F41" s="1"/>
      <c r="G41" s="1"/>
      <c r="I41" t="str">
        <f>Table53[[#This Row],[PROPERTY]]</f>
        <v>The Davy - Rent Plus Services</v>
      </c>
      <c r="J41" t="s">
        <v>86</v>
      </c>
    </row>
    <row r="42" spans="1:10" x14ac:dyDescent="0.25">
      <c r="A42" s="1" t="s">
        <v>87</v>
      </c>
      <c r="B42" s="1">
        <f>SUMIFS('Count Workbook (sans para.)'!B:B,'Count Workbook (sans para.)'!A:A,$A42)</f>
        <v>88</v>
      </c>
      <c r="C42" s="1">
        <f>SUMIFS('Count Workbook (sans para.)'!D:D,'Count Workbook (sans para.)'!A:A,$A42)</f>
        <v>680.85</v>
      </c>
      <c r="D42" s="3">
        <f>_xlfn.XLOOKUP($J42,ChargeCode[Property],ChargeCode[Total Cash Collections],"error")</f>
        <v>851.85</v>
      </c>
      <c r="E42" s="1">
        <f>Table53[[#This Row],[Cash Received]]-Table53[[#This Row],[AMOUNT]]</f>
        <v>171</v>
      </c>
      <c r="F42" s="1"/>
      <c r="G42" s="1"/>
      <c r="I42" t="str">
        <f>Table53[[#This Row],[PROPERTY]]</f>
        <v>The Essex - Rent Plus Services</v>
      </c>
      <c r="J42" t="s">
        <v>88</v>
      </c>
    </row>
    <row r="43" spans="1:10" x14ac:dyDescent="0.25">
      <c r="A43" s="1" t="s">
        <v>89</v>
      </c>
      <c r="B43" s="1">
        <f>SUMIFS('Count Workbook (sans para.)'!B:B,'Count Workbook (sans para.)'!A:A,$A43)</f>
        <v>375</v>
      </c>
      <c r="C43" s="1">
        <f>SUMIFS('Count Workbook (sans para.)'!D:D,'Count Workbook (sans para.)'!A:A,$A43)</f>
        <v>2943.75</v>
      </c>
      <c r="D43" s="3">
        <f>_xlfn.XLOOKUP($J43,ChargeCode[Property],ChargeCode[Total Cash Collections],"error")</f>
        <v>3730</v>
      </c>
      <c r="E43" s="1">
        <f>Table53[[#This Row],[Cash Received]]-Table53[[#This Row],[AMOUNT]]</f>
        <v>786.25</v>
      </c>
      <c r="F43" s="1"/>
      <c r="G43" s="1"/>
      <c r="I43" t="str">
        <f>Table53[[#This Row],[PROPERTY]]</f>
        <v>The Finmore at 241 - Rent Plus Services</v>
      </c>
      <c r="J43" t="s">
        <v>90</v>
      </c>
    </row>
    <row r="44" spans="1:10" x14ac:dyDescent="0.25">
      <c r="A44" s="13" t="s">
        <v>91</v>
      </c>
      <c r="B44" s="1">
        <f>SUMIFS('Count Workbook (sans para.)'!B:B,'Count Workbook (sans para.)'!A:A,$A44)</f>
        <v>94</v>
      </c>
      <c r="C44" s="1">
        <f>SUMIFS('Count Workbook (sans para.)'!D:D,'Count Workbook (sans para.)'!A:A,$A44)</f>
        <v>737.9</v>
      </c>
      <c r="D44" s="3">
        <f>_xlfn.XLOOKUP($J44,ChargeCode[Property],ChargeCode[Total Cash Collections],"error")</f>
        <v>940</v>
      </c>
      <c r="E44" s="1">
        <f>Table53[[#This Row],[Cash Received]]-Table53[[#This Row],[AMOUNT]]</f>
        <v>202.10000000000002</v>
      </c>
      <c r="F44" s="28"/>
      <c r="G44" s="1"/>
      <c r="I44" t="str">
        <f>Table53[[#This Row],[PROPERTY]]</f>
        <v>The Gates - Rent Plus Services</v>
      </c>
      <c r="J44" t="s">
        <v>92</v>
      </c>
    </row>
    <row r="45" spans="1:10" x14ac:dyDescent="0.25">
      <c r="A45" s="1" t="s">
        <v>93</v>
      </c>
      <c r="B45" s="1">
        <f>SUMIFS('Count Workbook (sans para.)'!B:B,'Count Workbook (sans para.)'!A:A,$A45)</f>
        <v>85</v>
      </c>
      <c r="C45" s="1">
        <f>SUMIFS('Count Workbook (sans para.)'!D:D,'Count Workbook (sans para.)'!A:A,$A45)</f>
        <v>667.25</v>
      </c>
      <c r="D45" s="3">
        <f>_xlfn.XLOOKUP($J45,ChargeCode[Property],ChargeCode[Total Cash Collections],"error")</f>
        <v>850</v>
      </c>
      <c r="E45" s="1">
        <f>Table53[[#This Row],[Cash Received]]-Table53[[#This Row],[AMOUNT]]</f>
        <v>182.75</v>
      </c>
      <c r="F45" s="1"/>
      <c r="G45" s="1"/>
      <c r="I45" t="str">
        <f>Table53[[#This Row],[PROPERTY]]</f>
        <v>The Highlands - Rent Plus Services</v>
      </c>
      <c r="J45" t="s">
        <v>94</v>
      </c>
    </row>
    <row r="46" spans="1:10" x14ac:dyDescent="0.25">
      <c r="A46" s="13" t="s">
        <v>95</v>
      </c>
      <c r="B46" s="1">
        <f>SUMIFS('Count Workbook (sans para.)'!B:B,'Count Workbook (sans para.)'!A:A,$A46)</f>
        <v>120</v>
      </c>
      <c r="C46" s="1">
        <f>SUMIFS('Count Workbook (sans para.)'!D:D,'Count Workbook (sans para.)'!A:A,$A46)</f>
        <v>942</v>
      </c>
      <c r="D46" s="3">
        <f>_xlfn.XLOOKUP($J46,ChargeCode[Property],ChargeCode[Total Cash Collections],"error")</f>
        <v>1200</v>
      </c>
      <c r="E46" s="1">
        <f>Table53[[#This Row],[Cash Received]]-Table53[[#This Row],[AMOUNT]]</f>
        <v>258</v>
      </c>
      <c r="F46" s="1"/>
      <c r="G46" s="1"/>
      <c r="I46" t="str">
        <f>Table53[[#This Row],[PROPERTY]]</f>
        <v>The Hive - Rent Plus Services</v>
      </c>
      <c r="J46" t="s">
        <v>96</v>
      </c>
    </row>
    <row r="47" spans="1:10" x14ac:dyDescent="0.25">
      <c r="A47" s="1" t="s">
        <v>97</v>
      </c>
      <c r="B47" s="1">
        <f>SUMIFS('Count Workbook (sans para.)'!B:B,'Count Workbook (sans para.)'!A:A,$A47)</f>
        <v>76</v>
      </c>
      <c r="C47" s="1">
        <f>SUMIFS('Count Workbook (sans para.)'!D:D,'Count Workbook (sans para.)'!A:A,$A47)</f>
        <v>596.6</v>
      </c>
      <c r="D47" s="3">
        <f>_xlfn.XLOOKUP($J47,ChargeCode[Property],ChargeCode[Total Cash Collections],"error")</f>
        <v>750</v>
      </c>
      <c r="E47" s="1">
        <f>Table53[[#This Row],[Cash Received]]-Table53[[#This Row],[AMOUNT]]</f>
        <v>153.39999999999998</v>
      </c>
      <c r="F47" s="1"/>
      <c r="G47" s="1"/>
      <c r="I47" t="str">
        <f>Table53[[#This Row],[PROPERTY]]</f>
        <v>The Landing Apartments - Rent Plus Services</v>
      </c>
      <c r="J47" t="s">
        <v>98</v>
      </c>
    </row>
    <row r="48" spans="1:10" x14ac:dyDescent="0.25">
      <c r="A48" s="1" t="s">
        <v>99</v>
      </c>
      <c r="B48" s="1">
        <f>SUMIFS('Count Workbook (sans para.)'!B:B,'Count Workbook (sans para.)'!A:A,$A48)</f>
        <v>6</v>
      </c>
      <c r="C48" s="1">
        <f>SUMIFS('Count Workbook (sans para.)'!D:D,'Count Workbook (sans para.)'!A:A,$A48)</f>
        <v>47.099999999999994</v>
      </c>
      <c r="D48" s="3">
        <f>_xlfn.XLOOKUP($J48,ChargeCode[Property],ChargeCode[Total Cash Collections],"error")</f>
        <v>1303.9000000000001</v>
      </c>
      <c r="E48" s="1">
        <f>Table53[[#This Row],[Cash Received]]-Table53[[#This Row],[AMOUNT]]</f>
        <v>1256.8000000000002</v>
      </c>
      <c r="F48" s="1"/>
      <c r="G48" s="1"/>
      <c r="I48" t="str">
        <f>Table53[[#This Row],[PROPERTY]]</f>
        <v>The Nine at Memphis - Rent Plus Services</v>
      </c>
      <c r="J48" t="s">
        <v>100</v>
      </c>
    </row>
    <row r="49" spans="1:10" x14ac:dyDescent="0.25">
      <c r="A49" s="1" t="s">
        <v>101</v>
      </c>
      <c r="B49" s="1">
        <f>SUMIFS('Count Workbook (sans para.)'!B:B,'Count Workbook (sans para.)'!A:A,$A49)</f>
        <v>172</v>
      </c>
      <c r="C49" s="1">
        <f>SUMIFS('Count Workbook (sans para.)'!D:D,'Count Workbook (sans para.)'!A:A,$A49)</f>
        <v>1350.2</v>
      </c>
      <c r="D49" s="3">
        <f>_xlfn.XLOOKUP($J49,ChargeCode[Property],ChargeCode[Total Cash Collections],"error")</f>
        <v>1680</v>
      </c>
      <c r="E49" s="1">
        <f>Table53[[#This Row],[Cash Received]]-Table53[[#This Row],[AMOUNT]]</f>
        <v>329.79999999999995</v>
      </c>
      <c r="F49" s="1"/>
      <c r="G49" s="1"/>
      <c r="I49" t="str">
        <f>Table53[[#This Row],[PROPERTY]]</f>
        <v>The Printing House - Rent Plus Services</v>
      </c>
      <c r="J49" t="s">
        <v>102</v>
      </c>
    </row>
    <row r="50" spans="1:10" x14ac:dyDescent="0.25">
      <c r="A50" s="1" t="s">
        <v>103</v>
      </c>
      <c r="B50" s="1">
        <f>SUMIFS('Count Workbook (sans para.)'!B:B,'Count Workbook (sans para.)'!A:A,$A50)</f>
        <v>216</v>
      </c>
      <c r="C50" s="1">
        <f>SUMIFS('Count Workbook (sans para.)'!D:D,'Count Workbook (sans para.)'!A:A,$A50)</f>
        <v>1695.6</v>
      </c>
      <c r="D50" s="3">
        <f>_xlfn.XLOOKUP($J50,ChargeCode[Property],ChargeCode[Total Cash Collections],"error")</f>
        <v>2210</v>
      </c>
      <c r="E50" s="1">
        <f>Table53[[#This Row],[Cash Received]]-Table53[[#This Row],[AMOUNT]]</f>
        <v>514.40000000000009</v>
      </c>
      <c r="F50" s="1"/>
      <c r="G50" s="1"/>
      <c r="I50" t="str">
        <f>Table53[[#This Row],[PROPERTY]]</f>
        <v>The Ranch - Rent Plus Services</v>
      </c>
      <c r="J50" t="s">
        <v>104</v>
      </c>
    </row>
    <row r="51" spans="1:10" x14ac:dyDescent="0.25">
      <c r="A51" s="1" t="s">
        <v>105</v>
      </c>
      <c r="B51" s="1">
        <f>SUMIFS('Count Workbook (sans para.)'!B:B,'Count Workbook (sans para.)'!A:A,$A51)</f>
        <v>501</v>
      </c>
      <c r="C51" s="1">
        <f>SUMIFS('Count Workbook (sans para.)'!D:D,'Count Workbook (sans para.)'!A:A,$A51)</f>
        <v>3932.85</v>
      </c>
      <c r="D51" s="3">
        <f>_xlfn.XLOOKUP($J51,ChargeCode[Property],ChargeCode[Total Cash Collections],"error")</f>
        <v>5000</v>
      </c>
      <c r="E51" s="1">
        <f>Table53[[#This Row],[Cash Received]]-Table53[[#This Row],[AMOUNT]]</f>
        <v>1067.1500000000001</v>
      </c>
      <c r="F51" s="1"/>
      <c r="G51" s="1"/>
      <c r="I51" t="str">
        <f>Table53[[#This Row],[PROPERTY]]</f>
        <v>The Republic - Rent Plus Services</v>
      </c>
      <c r="J51" t="s">
        <v>106</v>
      </c>
    </row>
    <row r="52" spans="1:10" x14ac:dyDescent="0.25">
      <c r="A52" s="1" t="s">
        <v>107</v>
      </c>
      <c r="B52" s="1">
        <f>SUMIFS('Count Workbook (sans para.)'!B:B,'Count Workbook (sans para.)'!A:A,$A52)</f>
        <v>23</v>
      </c>
      <c r="C52" s="1">
        <f>SUMIFS('Count Workbook (sans para.)'!D:D,'Count Workbook (sans para.)'!A:A,$A52)</f>
        <v>180.54999999999998</v>
      </c>
      <c r="D52" s="3">
        <f>_xlfn.XLOOKUP($J52,ChargeCode[Property],ChargeCode[Total Cash Collections],"error")</f>
        <v>170</v>
      </c>
      <c r="E52" s="1">
        <f>Table53[[#This Row],[Cash Received]]-Table53[[#This Row],[AMOUNT]]</f>
        <v>-10.549999999999983</v>
      </c>
      <c r="F52" s="1"/>
      <c r="G52" s="1"/>
      <c r="I52" t="str">
        <f>Table53[[#This Row],[PROPERTY]]</f>
        <v>The Ridge - Rent Plus Services</v>
      </c>
      <c r="J52" t="s">
        <v>108</v>
      </c>
    </row>
    <row r="53" spans="1:10" x14ac:dyDescent="0.25">
      <c r="A53" s="1" t="s">
        <v>109</v>
      </c>
      <c r="B53" s="1">
        <f>SUMIFS('Count Workbook (sans para.)'!B:B,'Count Workbook (sans para.)'!A:A,$A53)</f>
        <v>416</v>
      </c>
      <c r="C53" s="1">
        <f>SUMIFS('Count Workbook (sans para.)'!D:D,'Count Workbook (sans para.)'!A:A,$A53)</f>
        <v>3265.6</v>
      </c>
      <c r="D53" s="3">
        <f>_xlfn.XLOOKUP($J53,ChargeCode[Property],ChargeCode[Total Cash Collections],"error")</f>
        <v>4169.37</v>
      </c>
      <c r="E53" s="1">
        <f>Table53[[#This Row],[Cash Received]]-Table53[[#This Row],[AMOUNT]]</f>
        <v>903.77</v>
      </c>
      <c r="F53" s="1"/>
      <c r="G53" s="1"/>
      <c r="I53" t="str">
        <f>Table53[[#This Row],[PROPERTY]]</f>
        <v>The Summit at Coates Run - Rent Plus Services</v>
      </c>
      <c r="J53" t="s">
        <v>110</v>
      </c>
    </row>
    <row r="54" spans="1:10" x14ac:dyDescent="0.25">
      <c r="A54" s="1" t="s">
        <v>111</v>
      </c>
      <c r="B54" s="1">
        <f>SUMIFS('Count Workbook (sans para.)'!B:B,'Count Workbook (sans para.)'!A:A,$A54)</f>
        <v>198</v>
      </c>
      <c r="C54" s="1">
        <f>SUMIFS('Count Workbook (sans para.)'!D:D,'Count Workbook (sans para.)'!A:A,$A54)</f>
        <v>1554.3</v>
      </c>
      <c r="D54" s="3">
        <f>_xlfn.XLOOKUP($J54,ChargeCode[Property],ChargeCode[Total Cash Collections],"error")</f>
        <v>1920.54</v>
      </c>
      <c r="E54" s="1">
        <f>Table53[[#This Row],[Cash Received]]-Table53[[#This Row],[AMOUNT]]</f>
        <v>366.24</v>
      </c>
      <c r="F54" s="1"/>
      <c r="G54" s="1"/>
      <c r="I54" t="str">
        <f>Table53[[#This Row],[PROPERTY]]</f>
        <v>The Timbers - Rent Plus Services</v>
      </c>
      <c r="J54" t="s">
        <v>112</v>
      </c>
    </row>
    <row r="55" spans="1:10" x14ac:dyDescent="0.25">
      <c r="A55" s="1" t="s">
        <v>113</v>
      </c>
      <c r="B55" s="1">
        <f>SUMIFS('Count Workbook (sans para.)'!B:B,'Count Workbook (sans para.)'!A:A,$A55)</f>
        <v>214</v>
      </c>
      <c r="C55" s="1">
        <f>SUMIFS('Count Workbook (sans para.)'!D:D,'Count Workbook (sans para.)'!A:A,$A55)</f>
        <v>1679.8999999999999</v>
      </c>
      <c r="D55" s="3">
        <f>_xlfn.XLOOKUP($J55,ChargeCode[Property],ChargeCode[Total Cash Collections],"error")</f>
        <v>2130</v>
      </c>
      <c r="E55" s="1">
        <f>Table53[[#This Row],[Cash Received]]-Table53[[#This Row],[AMOUNT]]</f>
        <v>450.10000000000014</v>
      </c>
      <c r="F55" s="1"/>
      <c r="G55" s="1"/>
      <c r="I55" t="str">
        <f>Table53[[#This Row],[PROPERTY]]</f>
        <v>The Tower - Rent Plus Services</v>
      </c>
      <c r="J55" t="s">
        <v>114</v>
      </c>
    </row>
    <row r="56" spans="1:10" x14ac:dyDescent="0.25">
      <c r="A56" s="1" t="s">
        <v>115</v>
      </c>
      <c r="B56" s="1">
        <f>SUMIFS('Count Workbook (sans para.)'!B:B,'Count Workbook (sans para.)'!A:A,$A56)</f>
        <v>305</v>
      </c>
      <c r="C56" s="1">
        <f>SUMIFS('Count Workbook (sans para.)'!D:D,'Count Workbook (sans para.)'!A:A,$A56)</f>
        <v>2301.25</v>
      </c>
      <c r="D56" s="3">
        <f>_xlfn.XLOOKUP($J56,ChargeCode[Property],ChargeCode[Total Cash Collections],"error")</f>
        <v>2948.05</v>
      </c>
      <c r="E56" s="1">
        <f>Table53[[#This Row],[Cash Received]]-Table53[[#This Row],[AMOUNT]]</f>
        <v>646.80000000000018</v>
      </c>
      <c r="F56" s="25"/>
      <c r="G56" s="1"/>
      <c r="I56" t="str">
        <f>Table53[[#This Row],[PROPERTY]]</f>
        <v>The Valley - Rent Plus Services</v>
      </c>
      <c r="J56" t="s">
        <v>116</v>
      </c>
    </row>
    <row r="57" spans="1:10" x14ac:dyDescent="0.25">
      <c r="A57" s="1" t="s">
        <v>117</v>
      </c>
      <c r="B57" s="1">
        <f>SUMIFS('Count Workbook (sans para.)'!B:B,'Count Workbook (sans para.)'!A:A,$A57)</f>
        <v>307</v>
      </c>
      <c r="C57" s="1">
        <f>SUMIFS('Count Workbook (sans para.)'!D:D,'Count Workbook (sans para.)'!A:A,$A57)</f>
        <v>2302.85</v>
      </c>
      <c r="D57" s="3">
        <f>_xlfn.XLOOKUP($J57,ChargeCode[Property],ChargeCode[Total Cash Collections],"error")</f>
        <v>2972.9</v>
      </c>
      <c r="E57" s="1">
        <f>Table53[[#This Row],[Cash Received]]-Table53[[#This Row],[AMOUNT]]</f>
        <v>670.05000000000018</v>
      </c>
      <c r="F57" s="1"/>
      <c r="G57" s="1"/>
      <c r="I57" t="str">
        <f>Table53[[#This Row],[PROPERTY]]</f>
        <v>The View - Rent Plus Services</v>
      </c>
      <c r="J57" t="s">
        <v>118</v>
      </c>
    </row>
    <row r="58" spans="1:10" x14ac:dyDescent="0.25">
      <c r="A58" s="1" t="s">
        <v>119</v>
      </c>
      <c r="B58" s="1">
        <f>SUMIFS('Count Workbook (sans para.)'!B:B,'Count Workbook (sans para.)'!A:A,$A58)</f>
        <v>473</v>
      </c>
      <c r="C58" s="1">
        <f>SUMIFS('Count Workbook (sans para.)'!D:D,'Count Workbook (sans para.)'!A:A,$A58)</f>
        <v>3713.0499999999997</v>
      </c>
      <c r="D58" s="3">
        <f>_xlfn.XLOOKUP($J58,ChargeCode[Property],ChargeCode[Total Cash Collections],"error")</f>
        <v>4710</v>
      </c>
      <c r="E58" s="1">
        <f>Table53[[#This Row],[Cash Received]]-Table53[[#This Row],[AMOUNT]]</f>
        <v>996.95000000000027</v>
      </c>
      <c r="F58" s="25"/>
      <c r="G58" s="1"/>
      <c r="I58" t="str">
        <f>Table53[[#This Row],[PROPERTY]]</f>
        <v>Theory Gainesville - Rent Plus Services</v>
      </c>
      <c r="J58" t="s">
        <v>120</v>
      </c>
    </row>
    <row r="59" spans="1:10" x14ac:dyDescent="0.25">
      <c r="A59" s="1" t="s">
        <v>121</v>
      </c>
      <c r="B59" s="1">
        <f>SUMIFS('Count Workbook (sans para.)'!B:B,'Count Workbook (sans para.)'!A:A,$A59)</f>
        <v>360</v>
      </c>
      <c r="C59" s="1">
        <f>SUMIFS('Count Workbook (sans para.)'!D:D,'Count Workbook (sans para.)'!A:A,$A59)</f>
        <v>2826</v>
      </c>
      <c r="D59" s="3">
        <f>_xlfn.XLOOKUP($J59,ChargeCode[Property],ChargeCode[Total Cash Collections],"error")</f>
        <v>3496.67</v>
      </c>
      <c r="E59" s="1">
        <f>Table53[[#This Row],[Cash Received]]-Table53[[#This Row],[AMOUNT]]</f>
        <v>670.67000000000007</v>
      </c>
      <c r="F59" s="28"/>
      <c r="G59" s="1"/>
      <c r="I59" t="str">
        <f>Table53[[#This Row],[PROPERTY]]</f>
        <v>Theory Syracuse - Rent Plus Services</v>
      </c>
      <c r="J59" t="s">
        <v>122</v>
      </c>
    </row>
    <row r="60" spans="1:10" x14ac:dyDescent="0.25">
      <c r="A60" s="1" t="s">
        <v>123</v>
      </c>
      <c r="B60" s="1">
        <f>SUMIFS('Count Workbook (sans para.)'!B:B,'Count Workbook (sans para.)'!A:A,$A60)</f>
        <v>307</v>
      </c>
      <c r="C60" s="1">
        <f>SUMIFS('Count Workbook (sans para.)'!D:D,'Count Workbook (sans para.)'!A:A,$A60)</f>
        <v>2409.9499999999998</v>
      </c>
      <c r="D60" s="3">
        <f>_xlfn.XLOOKUP($J60,ChargeCode[Property],ChargeCode[Total Cash Collections],"error")</f>
        <v>3070</v>
      </c>
      <c r="E60" s="1">
        <f>Table53[[#This Row],[Cash Received]]-Table53[[#This Row],[AMOUNT]]</f>
        <v>660.05000000000018</v>
      </c>
      <c r="F60" s="1"/>
      <c r="G60" s="1"/>
      <c r="I60" t="str">
        <f>Table53[[#This Row],[PROPERTY]]</f>
        <v>Theory U District - Rent Plus Services</v>
      </c>
      <c r="J60" t="s">
        <v>124</v>
      </c>
    </row>
    <row r="61" spans="1:10" x14ac:dyDescent="0.25">
      <c r="A61" s="1" t="s">
        <v>125</v>
      </c>
      <c r="B61" s="1">
        <f>SUMIFS('Count Workbook (sans para.)'!B:B,'Count Workbook (sans para.)'!A:A,$A61)</f>
        <v>2</v>
      </c>
      <c r="C61" s="1">
        <f>SUMIFS('Count Workbook (sans para.)'!D:D,'Count Workbook (sans para.)'!A:A,$A61)</f>
        <v>15.7</v>
      </c>
      <c r="D61" s="3">
        <f>_xlfn.XLOOKUP($J61,ChargeCode[Property],ChargeCode[Total Cash Collections],"error")</f>
        <v>10</v>
      </c>
      <c r="E61" s="1">
        <f>Table53[[#This Row],[Cash Received]]-Table53[[#This Row],[AMOUNT]]</f>
        <v>-5.6999999999999993</v>
      </c>
      <c r="F61" s="25"/>
      <c r="G61" s="1"/>
      <c r="I61" t="str">
        <f>Table53[[#This Row],[PROPERTY]]</f>
        <v>Trifecta - Rent Plus Services</v>
      </c>
      <c r="J61" t="s">
        <v>126</v>
      </c>
    </row>
    <row r="62" spans="1:10" x14ac:dyDescent="0.25">
      <c r="A62" s="1" t="s">
        <v>127</v>
      </c>
      <c r="B62" s="1">
        <f>SUMIFS('Count Workbook (sans para.)'!B:B,'Count Workbook (sans para.)'!A:A,$A62)</f>
        <v>28</v>
      </c>
      <c r="C62" s="1">
        <f>SUMIFS('Count Workbook (sans para.)'!D:D,'Count Workbook (sans para.)'!A:A,$A62)</f>
        <v>216.79999999999998</v>
      </c>
      <c r="D62" s="3">
        <f>_xlfn.XLOOKUP($J62,ChargeCode[Property],ChargeCode[Total Cash Collections],"error")</f>
        <v>247</v>
      </c>
      <c r="E62" s="1">
        <f>Table53[[#This Row],[Cash Received]]-Table53[[#This Row],[AMOUNT]]</f>
        <v>30.200000000000017</v>
      </c>
      <c r="F62" s="1"/>
      <c r="G62" s="1"/>
      <c r="I62" t="str">
        <f>Table53[[#This Row],[PROPERTY]]</f>
        <v>University Edge Akron - Rent Plus Services</v>
      </c>
      <c r="J62" t="s">
        <v>128</v>
      </c>
    </row>
    <row r="63" spans="1:10" x14ac:dyDescent="0.25">
      <c r="A63" s="1" t="s">
        <v>129</v>
      </c>
      <c r="B63" s="1">
        <f>SUMIFS('Count Workbook (sans para.)'!B:B,'Count Workbook (sans para.)'!A:A,$A63)</f>
        <v>74</v>
      </c>
      <c r="C63" s="1">
        <f>SUMIFS('Count Workbook (sans para.)'!D:D,'Count Workbook (sans para.)'!A:A,$A63)</f>
        <v>580.9</v>
      </c>
      <c r="D63" s="3">
        <f>_xlfn.XLOOKUP($J63,ChargeCode[Property],ChargeCode[Total Cash Collections],"error")</f>
        <v>720</v>
      </c>
      <c r="E63" s="1">
        <f>Table53[[#This Row],[Cash Received]]-Table53[[#This Row],[AMOUNT]]</f>
        <v>139.10000000000002</v>
      </c>
      <c r="F63" s="25"/>
      <c r="G63" s="1"/>
      <c r="I63" t="str">
        <f>Table53[[#This Row],[PROPERTY]]</f>
        <v>Uno on Chestnut - Rent Plus Services</v>
      </c>
      <c r="J63" t="s">
        <v>130</v>
      </c>
    </row>
    <row r="64" spans="1:10" x14ac:dyDescent="0.25">
      <c r="A64" s="1" t="s">
        <v>131</v>
      </c>
      <c r="B64" s="1">
        <f>SUMIFS('Count Workbook (sans para.)'!B:B,'Count Workbook (sans para.)'!A:A,$A64)</f>
        <v>388</v>
      </c>
      <c r="C64" s="1">
        <f>SUMIFS('Count Workbook (sans para.)'!D:D,'Count Workbook (sans para.)'!A:A,$A64)</f>
        <v>3045.7999999999997</v>
      </c>
      <c r="D64" s="3">
        <f>_xlfn.XLOOKUP($J64,ChargeCode[Property],ChargeCode[Total Cash Collections],"error")</f>
        <v>3830</v>
      </c>
      <c r="E64" s="1">
        <f>Table53[[#This Row],[Cash Received]]-Table53[[#This Row],[AMOUNT]]</f>
        <v>784.20000000000027</v>
      </c>
      <c r="F64" s="25"/>
      <c r="G64" s="1"/>
      <c r="I64" t="str">
        <f>Table53[[#This Row],[PROPERTY]]</f>
        <v>Valley Falls Apartments - Rent Plus Services</v>
      </c>
      <c r="J64" t="s">
        <v>132</v>
      </c>
    </row>
    <row r="65" spans="1:10" x14ac:dyDescent="0.25">
      <c r="A65" s="1" t="s">
        <v>133</v>
      </c>
      <c r="B65" s="1">
        <f>SUMIFS('Count Workbook (sans para.)'!B:B,'Count Workbook (sans para.)'!A:A,$A65)</f>
        <v>506</v>
      </c>
      <c r="C65" s="1">
        <f>SUMIFS('Count Workbook (sans para.)'!D:D,'Count Workbook (sans para.)'!A:A,$A65)</f>
        <v>3972.1</v>
      </c>
      <c r="D65" s="3">
        <f>_xlfn.XLOOKUP($J65,ChargeCode[Property],ChargeCode[Total Cash Collections],"error")</f>
        <v>5050</v>
      </c>
      <c r="E65" s="1">
        <f>Table53[[#This Row],[Cash Received]]-Table53[[#This Row],[AMOUNT]]</f>
        <v>1077.9000000000001</v>
      </c>
      <c r="F65" s="25"/>
      <c r="G65" s="1"/>
      <c r="I65" t="str">
        <f>Table53[[#This Row],[PROPERTY]]</f>
        <v>Villas on Rio - Rent Plus Services</v>
      </c>
      <c r="J65" t="s">
        <v>134</v>
      </c>
    </row>
    <row r="66" spans="1:10" x14ac:dyDescent="0.25">
      <c r="A66" s="1"/>
      <c r="B66" s="1">
        <f>SUBTOTAL(109,Table53[QTY])</f>
        <v>14260</v>
      </c>
      <c r="C66" s="3">
        <f>SUBTOTAL(109,Table53[AMOUNT])</f>
        <v>109790.25000000001</v>
      </c>
      <c r="D66" s="1">
        <f>SUBTOTAL(109,Table53[Cash Received])</f>
        <v>139374.65999999997</v>
      </c>
      <c r="E66" s="25">
        <f>SUBTOTAL(109,Table53[PA Rev Share])</f>
        <v>29584.410000000003</v>
      </c>
      <c r="F66" s="25"/>
      <c r="G66" s="1"/>
    </row>
    <row r="67" spans="1:10" x14ac:dyDescent="0.25">
      <c r="A67" s="1"/>
      <c r="B67" s="1"/>
      <c r="C67" s="1"/>
      <c r="D67" s="3"/>
      <c r="E67" s="1"/>
      <c r="F67" s="1"/>
      <c r="G67" s="1"/>
    </row>
    <row r="68" spans="1:10" x14ac:dyDescent="0.25">
      <c r="A68" s="1"/>
      <c r="B68" s="1"/>
      <c r="C68" s="1"/>
      <c r="D68" s="3"/>
      <c r="E68" s="1"/>
      <c r="F68" s="1"/>
      <c r="G68" s="1"/>
    </row>
    <row r="69" spans="1:10" x14ac:dyDescent="0.25">
      <c r="A69" s="16" t="s">
        <v>6</v>
      </c>
    </row>
    <row r="70" spans="1:10" x14ac:dyDescent="0.25">
      <c r="A70" t="s">
        <v>135</v>
      </c>
      <c r="B70" s="17">
        <f>Table53[[#Totals],[QTY]]</f>
        <v>14260</v>
      </c>
      <c r="C70" s="18"/>
    </row>
    <row r="71" spans="1:10" x14ac:dyDescent="0.25">
      <c r="A71" t="s">
        <v>136</v>
      </c>
      <c r="C71" s="14">
        <f>B70*2.24</f>
        <v>31942.400000000001</v>
      </c>
      <c r="D71">
        <v>31152</v>
      </c>
    </row>
    <row r="72" spans="1:10" x14ac:dyDescent="0.25">
      <c r="C72" s="14"/>
    </row>
    <row r="73" spans="1:10" x14ac:dyDescent="0.25">
      <c r="A73" t="s">
        <v>137</v>
      </c>
      <c r="B73" s="17"/>
      <c r="C73" s="18">
        <f>Table53[[#Totals],[AMOUNT]]</f>
        <v>109790.25000000001</v>
      </c>
    </row>
    <row r="74" spans="1:10" x14ac:dyDescent="0.25">
      <c r="A74" t="s">
        <v>138</v>
      </c>
      <c r="C74" s="18">
        <f>Table53[[#Totals],[PA Rev Share]]</f>
        <v>29584.410000000003</v>
      </c>
    </row>
    <row r="75" spans="1:10" ht="15.75" thickBot="1" x14ac:dyDescent="0.3">
      <c r="A75" s="16" t="s">
        <v>139</v>
      </c>
      <c r="B75" s="16"/>
      <c r="C75" s="20">
        <f>SUM(C73:C74)</f>
        <v>139374.66000000003</v>
      </c>
    </row>
    <row r="76" spans="1:10" ht="15.75" thickTop="1" x14ac:dyDescent="0.25">
      <c r="B76" s="19" t="s">
        <v>140</v>
      </c>
      <c r="C76" s="15">
        <f>C75-Table53[[#Totals],[Cash Received]]</f>
        <v>0</v>
      </c>
    </row>
    <row r="78" spans="1:10" x14ac:dyDescent="0.25">
      <c r="A78" s="21" t="s">
        <v>141</v>
      </c>
    </row>
  </sheetData>
  <conditionalFormatting sqref="D2:F66">
    <cfRule type="expression" dxfId="3" priority="6">
      <formula>$D2=#REF!</formula>
    </cfRule>
  </conditionalFormatting>
  <conditionalFormatting sqref="E67:G68">
    <cfRule type="expression" dxfId="2" priority="2">
      <formula>$E67=#REF!</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ellIs" priority="1" operator="equal" id="{55006979-FE4F-42D4-A725-0F507C11C7E8}">
            <xm:f>'Invoice Data'!$F$154</xm:f>
            <x14:dxf>
              <font>
                <color rgb="FF006100"/>
              </font>
              <fill>
                <patternFill>
                  <bgColor rgb="FFC6EFCE"/>
                </patternFill>
              </fill>
            </x14:dxf>
          </x14:cfRule>
          <xm:sqref>C63:C66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EE1D-D135-4562-86AB-6C18303D5B4F}">
  <dimension ref="A1:I73"/>
  <sheetViews>
    <sheetView topLeftCell="A61" workbookViewId="0">
      <selection activeCell="A23" sqref="A23"/>
    </sheetView>
  </sheetViews>
  <sheetFormatPr defaultRowHeight="15" x14ac:dyDescent="0.25"/>
  <cols>
    <col min="1" max="1" width="28.140625" bestFit="1" customWidth="1"/>
    <col min="2" max="2" width="8.7109375" customWidth="1"/>
    <col min="3" max="3" width="12.140625" customWidth="1"/>
    <col min="4" max="4" width="13.85546875" customWidth="1"/>
    <col min="5" max="5" width="16.140625" customWidth="1"/>
    <col min="6" max="6" width="18.5703125" customWidth="1"/>
    <col min="7" max="7" width="20.85546875" customWidth="1"/>
    <col min="8" max="9" width="0" hidden="1" customWidth="1"/>
  </cols>
  <sheetData>
    <row r="1" spans="1:9" x14ac:dyDescent="0.25">
      <c r="A1" t="s">
        <v>142</v>
      </c>
      <c r="B1" t="s">
        <v>143</v>
      </c>
      <c r="C1" t="s">
        <v>144</v>
      </c>
      <c r="D1" t="s">
        <v>145</v>
      </c>
      <c r="E1" t="s">
        <v>146</v>
      </c>
      <c r="F1" t="s">
        <v>147</v>
      </c>
      <c r="G1" t="s">
        <v>148</v>
      </c>
      <c r="H1" t="s">
        <v>149</v>
      </c>
      <c r="I1" t="s">
        <v>150</v>
      </c>
    </row>
    <row r="2" spans="1:9" x14ac:dyDescent="0.25">
      <c r="A2" t="s">
        <v>8</v>
      </c>
      <c r="B2" t="s">
        <v>151</v>
      </c>
      <c r="C2" t="s">
        <v>152</v>
      </c>
      <c r="D2" s="33">
        <v>5850</v>
      </c>
      <c r="E2">
        <v>780</v>
      </c>
      <c r="F2" s="33">
        <v>4850</v>
      </c>
      <c r="G2" s="33">
        <v>5630</v>
      </c>
      <c r="H2">
        <v>20</v>
      </c>
      <c r="I2" s="33">
        <v>5713</v>
      </c>
    </row>
    <row r="3" spans="1:9" x14ac:dyDescent="0.25">
      <c r="A3" t="s">
        <v>10</v>
      </c>
      <c r="B3" t="s">
        <v>151</v>
      </c>
      <c r="C3" t="s">
        <v>152</v>
      </c>
      <c r="D3" s="33">
        <v>536.45000000000005</v>
      </c>
      <c r="E3">
        <v>53.53</v>
      </c>
      <c r="F3">
        <v>449.39</v>
      </c>
      <c r="G3" s="33">
        <v>502.92</v>
      </c>
      <c r="H3">
        <v>0</v>
      </c>
      <c r="I3" s="33">
        <v>1090</v>
      </c>
    </row>
    <row r="4" spans="1:9" x14ac:dyDescent="0.25">
      <c r="A4" t="s">
        <v>12</v>
      </c>
      <c r="B4" t="s">
        <v>151</v>
      </c>
      <c r="C4" t="s">
        <v>152</v>
      </c>
      <c r="D4">
        <v>1140</v>
      </c>
      <c r="E4">
        <v>287</v>
      </c>
      <c r="F4">
        <v>788.94</v>
      </c>
      <c r="G4">
        <v>1075.94</v>
      </c>
      <c r="H4">
        <v>0</v>
      </c>
      <c r="I4">
        <v>310</v>
      </c>
    </row>
    <row r="5" spans="1:9" x14ac:dyDescent="0.25">
      <c r="A5" t="s">
        <v>14</v>
      </c>
      <c r="B5" t="s">
        <v>151</v>
      </c>
      <c r="C5" t="s">
        <v>152</v>
      </c>
      <c r="D5" s="33">
        <v>370</v>
      </c>
      <c r="E5">
        <v>50</v>
      </c>
      <c r="F5">
        <v>290</v>
      </c>
      <c r="G5">
        <v>340</v>
      </c>
      <c r="H5">
        <v>261.8</v>
      </c>
      <c r="I5" s="33">
        <v>1165.05</v>
      </c>
    </row>
    <row r="6" spans="1:9" x14ac:dyDescent="0.25">
      <c r="A6" t="s">
        <v>16</v>
      </c>
      <c r="B6" t="s">
        <v>151</v>
      </c>
      <c r="C6" t="s">
        <v>152</v>
      </c>
      <c r="D6" s="33">
        <v>1101.8499999999999</v>
      </c>
      <c r="E6">
        <v>140.55000000000001</v>
      </c>
      <c r="F6" s="33">
        <v>677.17</v>
      </c>
      <c r="G6" s="33">
        <v>817.72</v>
      </c>
      <c r="H6">
        <v>-20</v>
      </c>
      <c r="I6" s="33">
        <v>3643</v>
      </c>
    </row>
    <row r="7" spans="1:9" x14ac:dyDescent="0.25">
      <c r="A7" t="s">
        <v>18</v>
      </c>
      <c r="B7" t="s">
        <v>151</v>
      </c>
      <c r="C7" t="s">
        <v>152</v>
      </c>
      <c r="D7" s="33">
        <v>3680</v>
      </c>
      <c r="E7">
        <v>520</v>
      </c>
      <c r="F7" s="33">
        <v>3010</v>
      </c>
      <c r="G7" s="33">
        <v>3530</v>
      </c>
      <c r="H7">
        <v>0</v>
      </c>
      <c r="I7" s="33">
        <v>3324.82</v>
      </c>
    </row>
    <row r="8" spans="1:9" x14ac:dyDescent="0.25">
      <c r="A8" t="s">
        <v>20</v>
      </c>
      <c r="B8" t="s">
        <v>151</v>
      </c>
      <c r="C8" t="s">
        <v>152</v>
      </c>
      <c r="D8" s="33">
        <v>3339</v>
      </c>
      <c r="E8">
        <v>144.25</v>
      </c>
      <c r="F8" s="33">
        <v>3244.75</v>
      </c>
      <c r="G8" s="33">
        <v>3389</v>
      </c>
      <c r="H8">
        <v>-29</v>
      </c>
      <c r="I8" s="33">
        <v>1557</v>
      </c>
    </row>
    <row r="9" spans="1:9" x14ac:dyDescent="0.25">
      <c r="A9" t="s">
        <v>22</v>
      </c>
      <c r="B9" t="s">
        <v>151</v>
      </c>
      <c r="C9" t="s">
        <v>152</v>
      </c>
      <c r="D9">
        <v>1586</v>
      </c>
      <c r="E9">
        <v>170</v>
      </c>
      <c r="F9">
        <v>1367</v>
      </c>
      <c r="G9">
        <v>1537</v>
      </c>
      <c r="H9">
        <v>9</v>
      </c>
      <c r="I9">
        <v>956</v>
      </c>
    </row>
    <row r="10" spans="1:9" x14ac:dyDescent="0.25">
      <c r="A10" t="s">
        <v>24</v>
      </c>
      <c r="B10" t="s">
        <v>151</v>
      </c>
      <c r="C10" t="s">
        <v>152</v>
      </c>
      <c r="D10">
        <v>1015</v>
      </c>
      <c r="E10">
        <v>119</v>
      </c>
      <c r="F10">
        <v>818</v>
      </c>
      <c r="G10">
        <v>937</v>
      </c>
      <c r="H10">
        <v>0</v>
      </c>
      <c r="I10">
        <v>30</v>
      </c>
    </row>
    <row r="11" spans="1:9" x14ac:dyDescent="0.25">
      <c r="A11" t="s">
        <v>26</v>
      </c>
      <c r="B11" t="s">
        <v>151</v>
      </c>
      <c r="C11" t="s">
        <v>152</v>
      </c>
      <c r="D11">
        <v>475.7</v>
      </c>
      <c r="E11">
        <v>93.56</v>
      </c>
      <c r="F11">
        <v>330.39</v>
      </c>
      <c r="G11">
        <v>423.95</v>
      </c>
      <c r="H11">
        <v>0</v>
      </c>
      <c r="I11">
        <v>45.6</v>
      </c>
    </row>
    <row r="12" spans="1:9" x14ac:dyDescent="0.25">
      <c r="A12" t="s">
        <v>28</v>
      </c>
      <c r="B12" t="s">
        <v>151</v>
      </c>
      <c r="C12" t="s">
        <v>152</v>
      </c>
      <c r="D12" s="33">
        <v>40</v>
      </c>
      <c r="E12">
        <v>0</v>
      </c>
      <c r="F12" s="33">
        <v>40</v>
      </c>
      <c r="G12" s="33">
        <v>40</v>
      </c>
      <c r="H12">
        <v>20</v>
      </c>
      <c r="I12" s="33">
        <v>2310</v>
      </c>
    </row>
    <row r="13" spans="1:9" x14ac:dyDescent="0.25">
      <c r="A13" t="s">
        <v>153</v>
      </c>
      <c r="B13" t="s">
        <v>151</v>
      </c>
      <c r="C13" t="s">
        <v>152</v>
      </c>
      <c r="D13" s="33">
        <v>51.3</v>
      </c>
      <c r="E13">
        <v>0</v>
      </c>
      <c r="F13" s="33">
        <v>34.200000000000003</v>
      </c>
      <c r="G13" s="33">
        <v>34.200000000000003</v>
      </c>
      <c r="H13">
        <v>40</v>
      </c>
      <c r="I13" s="33">
        <v>5780</v>
      </c>
    </row>
    <row r="14" spans="1:9" x14ac:dyDescent="0.25">
      <c r="A14" t="s">
        <v>30</v>
      </c>
      <c r="B14" t="s">
        <v>151</v>
      </c>
      <c r="C14" t="s">
        <v>152</v>
      </c>
      <c r="D14" s="33">
        <v>2330</v>
      </c>
      <c r="E14">
        <v>220</v>
      </c>
      <c r="F14" s="33">
        <v>2100</v>
      </c>
      <c r="G14" s="33">
        <v>2320</v>
      </c>
      <c r="H14">
        <v>-20</v>
      </c>
      <c r="I14" s="33">
        <v>1800</v>
      </c>
    </row>
    <row r="15" spans="1:9" x14ac:dyDescent="0.25">
      <c r="A15" t="s">
        <v>32</v>
      </c>
      <c r="B15" t="s">
        <v>151</v>
      </c>
      <c r="C15" t="s">
        <v>152</v>
      </c>
      <c r="D15" s="33">
        <v>5710</v>
      </c>
      <c r="E15">
        <v>520</v>
      </c>
      <c r="F15" s="33">
        <v>5060</v>
      </c>
      <c r="G15" s="33">
        <v>5580</v>
      </c>
      <c r="H15">
        <v>0</v>
      </c>
      <c r="I15" s="33">
        <v>4710</v>
      </c>
    </row>
    <row r="16" spans="1:9" x14ac:dyDescent="0.25">
      <c r="A16" t="s">
        <v>34</v>
      </c>
      <c r="B16" t="s">
        <v>151</v>
      </c>
      <c r="C16" t="s">
        <v>152</v>
      </c>
      <c r="D16" s="33">
        <v>1830</v>
      </c>
      <c r="E16">
        <v>210</v>
      </c>
      <c r="F16" s="33">
        <v>1580</v>
      </c>
      <c r="G16" s="33">
        <v>1790</v>
      </c>
      <c r="H16">
        <v>5.7</v>
      </c>
      <c r="I16" s="33">
        <v>1584.6</v>
      </c>
    </row>
    <row r="17" spans="1:9" x14ac:dyDescent="0.25">
      <c r="A17" t="s">
        <v>36</v>
      </c>
      <c r="B17" t="s">
        <v>151</v>
      </c>
      <c r="C17" t="s">
        <v>152</v>
      </c>
      <c r="D17">
        <v>4730</v>
      </c>
      <c r="E17">
        <v>140</v>
      </c>
      <c r="F17">
        <v>4590</v>
      </c>
      <c r="G17">
        <v>4730</v>
      </c>
      <c r="H17">
        <v>30</v>
      </c>
      <c r="I17">
        <v>344</v>
      </c>
    </row>
    <row r="18" spans="1:9" x14ac:dyDescent="0.25">
      <c r="A18" t="s">
        <v>154</v>
      </c>
      <c r="B18" t="s">
        <v>151</v>
      </c>
      <c r="C18" t="s">
        <v>152</v>
      </c>
      <c r="D18">
        <v>1561.8</v>
      </c>
      <c r="E18">
        <v>114</v>
      </c>
      <c r="F18">
        <v>1442.1</v>
      </c>
      <c r="G18">
        <v>1556.1</v>
      </c>
      <c r="H18">
        <v>0</v>
      </c>
      <c r="I18">
        <v>640</v>
      </c>
    </row>
    <row r="19" spans="1:9" x14ac:dyDescent="0.25">
      <c r="A19" t="s">
        <v>38</v>
      </c>
      <c r="B19" t="s">
        <v>151</v>
      </c>
      <c r="C19" t="s">
        <v>152</v>
      </c>
      <c r="D19">
        <v>364</v>
      </c>
      <c r="E19">
        <v>36</v>
      </c>
      <c r="F19">
        <v>318</v>
      </c>
      <c r="G19">
        <v>354</v>
      </c>
      <c r="H19">
        <v>0</v>
      </c>
      <c r="I19">
        <v>102</v>
      </c>
    </row>
    <row r="20" spans="1:9" x14ac:dyDescent="0.25">
      <c r="A20" t="s">
        <v>40</v>
      </c>
      <c r="B20" t="s">
        <v>151</v>
      </c>
      <c r="C20" t="s">
        <v>152</v>
      </c>
      <c r="D20" s="33">
        <v>640</v>
      </c>
      <c r="E20">
        <v>20</v>
      </c>
      <c r="F20" s="33">
        <v>620</v>
      </c>
      <c r="G20" s="33">
        <v>640</v>
      </c>
      <c r="H20">
        <v>0</v>
      </c>
      <c r="I20" s="33">
        <v>3461</v>
      </c>
    </row>
    <row r="21" spans="1:9" x14ac:dyDescent="0.25">
      <c r="A21" t="s">
        <v>42</v>
      </c>
      <c r="B21" t="s">
        <v>151</v>
      </c>
      <c r="C21" t="s">
        <v>152</v>
      </c>
      <c r="D21" s="33">
        <v>108</v>
      </c>
      <c r="E21">
        <v>18</v>
      </c>
      <c r="F21" s="33">
        <v>90</v>
      </c>
      <c r="G21" s="33">
        <v>108</v>
      </c>
      <c r="H21">
        <v>10</v>
      </c>
      <c r="I21" s="33">
        <v>2770</v>
      </c>
    </row>
    <row r="22" spans="1:9" x14ac:dyDescent="0.25">
      <c r="A22" t="s">
        <v>44</v>
      </c>
      <c r="B22" t="s">
        <v>151</v>
      </c>
      <c r="C22" t="s">
        <v>152</v>
      </c>
      <c r="D22" s="33">
        <v>3454</v>
      </c>
      <c r="E22">
        <v>65</v>
      </c>
      <c r="F22" s="33">
        <v>3370</v>
      </c>
      <c r="G22" s="33">
        <v>3435</v>
      </c>
      <c r="H22">
        <v>20</v>
      </c>
      <c r="I22" s="33">
        <v>1470</v>
      </c>
    </row>
    <row r="23" spans="1:9" x14ac:dyDescent="0.25">
      <c r="A23" t="s">
        <v>46</v>
      </c>
      <c r="B23" t="s">
        <v>151</v>
      </c>
      <c r="C23" t="s">
        <v>152</v>
      </c>
      <c r="D23" s="33">
        <v>2700</v>
      </c>
      <c r="E23">
        <v>411</v>
      </c>
      <c r="F23" s="33">
        <v>2249</v>
      </c>
      <c r="G23" s="33">
        <v>2660</v>
      </c>
      <c r="H23">
        <v>0</v>
      </c>
      <c r="I23" s="33">
        <v>2827.2</v>
      </c>
    </row>
    <row r="24" spans="1:9" x14ac:dyDescent="0.25">
      <c r="A24" t="s">
        <v>48</v>
      </c>
      <c r="B24" t="s">
        <v>151</v>
      </c>
      <c r="C24" t="s">
        <v>152</v>
      </c>
      <c r="D24" s="33">
        <v>1340</v>
      </c>
      <c r="E24">
        <v>150</v>
      </c>
      <c r="F24" s="33">
        <v>1150</v>
      </c>
      <c r="G24" s="33">
        <v>1300</v>
      </c>
      <c r="H24">
        <v>0</v>
      </c>
      <c r="I24" s="33">
        <v>1710</v>
      </c>
    </row>
    <row r="25" spans="1:9" x14ac:dyDescent="0.25">
      <c r="A25" t="s">
        <v>155</v>
      </c>
      <c r="B25" t="s">
        <v>151</v>
      </c>
      <c r="C25" t="s">
        <v>152</v>
      </c>
      <c r="D25" s="33">
        <v>2810.1</v>
      </c>
      <c r="E25">
        <v>262.2</v>
      </c>
      <c r="F25" s="33">
        <v>2513.6999999999998</v>
      </c>
      <c r="G25" s="33">
        <v>2775.9</v>
      </c>
      <c r="H25">
        <v>30</v>
      </c>
      <c r="I25" s="33">
        <v>2460</v>
      </c>
    </row>
    <row r="26" spans="1:9" x14ac:dyDescent="0.25">
      <c r="A26" t="s">
        <v>50</v>
      </c>
      <c r="B26" t="s">
        <v>151</v>
      </c>
      <c r="C26" t="s">
        <v>152</v>
      </c>
      <c r="D26" s="33">
        <v>1770</v>
      </c>
      <c r="E26">
        <v>220</v>
      </c>
      <c r="F26" s="33">
        <v>1510</v>
      </c>
      <c r="G26" s="33">
        <v>1730</v>
      </c>
      <c r="H26">
        <v>0</v>
      </c>
      <c r="I26" s="33">
        <v>2910</v>
      </c>
    </row>
    <row r="27" spans="1:9" x14ac:dyDescent="0.25">
      <c r="A27" t="s">
        <v>52</v>
      </c>
      <c r="B27" t="s">
        <v>151</v>
      </c>
      <c r="C27" t="s">
        <v>152</v>
      </c>
      <c r="D27" s="33">
        <v>2480</v>
      </c>
      <c r="E27">
        <v>70</v>
      </c>
      <c r="F27" s="33">
        <v>2544.1</v>
      </c>
      <c r="G27" s="33">
        <v>2614.1</v>
      </c>
      <c r="H27">
        <v>0</v>
      </c>
      <c r="I27" s="33">
        <v>2450</v>
      </c>
    </row>
    <row r="28" spans="1:9" x14ac:dyDescent="0.25">
      <c r="A28" t="s">
        <v>54</v>
      </c>
      <c r="B28" t="s">
        <v>151</v>
      </c>
      <c r="C28" t="s">
        <v>152</v>
      </c>
      <c r="D28">
        <v>2880</v>
      </c>
      <c r="E28">
        <v>70</v>
      </c>
      <c r="F28">
        <v>2790</v>
      </c>
      <c r="G28">
        <v>2860</v>
      </c>
      <c r="H28">
        <v>20</v>
      </c>
      <c r="I28">
        <v>630</v>
      </c>
    </row>
    <row r="29" spans="1:9" x14ac:dyDescent="0.25">
      <c r="A29" t="s">
        <v>56</v>
      </c>
      <c r="B29" t="s">
        <v>151</v>
      </c>
      <c r="C29" t="s">
        <v>152</v>
      </c>
      <c r="D29" s="33">
        <v>2410</v>
      </c>
      <c r="E29">
        <v>30</v>
      </c>
      <c r="F29" s="33">
        <v>2340</v>
      </c>
      <c r="G29" s="33">
        <v>2370</v>
      </c>
      <c r="H29">
        <v>0</v>
      </c>
      <c r="I29" s="33">
        <v>2154</v>
      </c>
    </row>
    <row r="30" spans="1:9" x14ac:dyDescent="0.25">
      <c r="A30" t="s">
        <v>58</v>
      </c>
      <c r="B30" t="s">
        <v>151</v>
      </c>
      <c r="C30" t="s">
        <v>152</v>
      </c>
      <c r="D30" s="33">
        <v>240</v>
      </c>
      <c r="E30">
        <v>20</v>
      </c>
      <c r="F30" s="33">
        <v>220</v>
      </c>
      <c r="G30" s="33">
        <v>240</v>
      </c>
      <c r="H30">
        <v>0</v>
      </c>
      <c r="I30" s="33">
        <v>1770</v>
      </c>
    </row>
    <row r="31" spans="1:9" x14ac:dyDescent="0.25">
      <c r="A31" t="s">
        <v>60</v>
      </c>
      <c r="B31" t="s">
        <v>151</v>
      </c>
      <c r="C31" t="s">
        <v>152</v>
      </c>
      <c r="D31" s="33">
        <v>2114</v>
      </c>
      <c r="E31">
        <v>114.61</v>
      </c>
      <c r="F31" s="33">
        <v>2009.39</v>
      </c>
      <c r="G31" s="33">
        <v>2124</v>
      </c>
      <c r="H31">
        <v>76.849999999999994</v>
      </c>
      <c r="I31" s="33">
        <v>1653.3</v>
      </c>
    </row>
    <row r="32" spans="1:9" x14ac:dyDescent="0.25">
      <c r="A32" t="s">
        <v>62</v>
      </c>
      <c r="B32" t="s">
        <v>151</v>
      </c>
      <c r="C32" t="s">
        <v>152</v>
      </c>
      <c r="D32">
        <v>1770</v>
      </c>
      <c r="E32">
        <v>160</v>
      </c>
      <c r="F32">
        <v>1610</v>
      </c>
      <c r="G32">
        <v>1770</v>
      </c>
      <c r="H32">
        <v>11.4</v>
      </c>
      <c r="I32">
        <v>228</v>
      </c>
    </row>
    <row r="33" spans="1:9" x14ac:dyDescent="0.25">
      <c r="A33" t="s">
        <v>64</v>
      </c>
      <c r="B33" t="s">
        <v>151</v>
      </c>
      <c r="C33" t="s">
        <v>152</v>
      </c>
      <c r="D33">
        <v>1690.15</v>
      </c>
      <c r="E33">
        <v>-10</v>
      </c>
      <c r="F33">
        <v>1591.2</v>
      </c>
      <c r="G33">
        <v>1581.2</v>
      </c>
      <c r="H33">
        <v>10</v>
      </c>
      <c r="I33">
        <v>610</v>
      </c>
    </row>
    <row r="34" spans="1:9" x14ac:dyDescent="0.25">
      <c r="A34" t="s">
        <v>66</v>
      </c>
      <c r="B34" t="s">
        <v>151</v>
      </c>
      <c r="C34" t="s">
        <v>152</v>
      </c>
      <c r="D34" s="33">
        <v>10</v>
      </c>
      <c r="E34">
        <v>0</v>
      </c>
      <c r="F34" s="33">
        <v>10</v>
      </c>
      <c r="G34" s="33">
        <v>10</v>
      </c>
      <c r="H34">
        <v>0</v>
      </c>
      <c r="I34" s="33">
        <v>3090</v>
      </c>
    </row>
    <row r="35" spans="1:9" x14ac:dyDescent="0.25">
      <c r="A35" t="s">
        <v>156</v>
      </c>
      <c r="B35" t="s">
        <v>151</v>
      </c>
      <c r="C35" t="s">
        <v>152</v>
      </c>
      <c r="D35" s="33">
        <v>228</v>
      </c>
      <c r="E35">
        <v>68.400000000000006</v>
      </c>
      <c r="F35" s="33">
        <v>153.9</v>
      </c>
      <c r="G35" s="33">
        <v>222.3</v>
      </c>
      <c r="H35">
        <v>10</v>
      </c>
      <c r="I35" s="33">
        <v>1200</v>
      </c>
    </row>
    <row r="36" spans="1:9" x14ac:dyDescent="0.25">
      <c r="A36" t="s">
        <v>68</v>
      </c>
      <c r="B36" t="s">
        <v>151</v>
      </c>
      <c r="C36" t="s">
        <v>152</v>
      </c>
      <c r="D36" s="33">
        <v>630</v>
      </c>
      <c r="E36">
        <v>100</v>
      </c>
      <c r="F36" s="33">
        <v>530</v>
      </c>
      <c r="G36" s="33">
        <v>630</v>
      </c>
      <c r="H36">
        <v>0</v>
      </c>
      <c r="I36" s="33">
        <v>1330</v>
      </c>
    </row>
    <row r="37" spans="1:9" x14ac:dyDescent="0.25">
      <c r="A37" t="s">
        <v>70</v>
      </c>
      <c r="B37" t="s">
        <v>151</v>
      </c>
      <c r="C37" t="s">
        <v>152</v>
      </c>
      <c r="D37" s="33">
        <v>3070</v>
      </c>
      <c r="E37">
        <v>217.56</v>
      </c>
      <c r="F37" s="33">
        <v>2862.44</v>
      </c>
      <c r="G37" s="33">
        <v>3080</v>
      </c>
      <c r="H37">
        <v>0</v>
      </c>
      <c r="I37" s="33">
        <v>1260</v>
      </c>
    </row>
    <row r="38" spans="1:9" x14ac:dyDescent="0.25">
      <c r="A38" t="s">
        <v>72</v>
      </c>
      <c r="B38" t="s">
        <v>151</v>
      </c>
      <c r="C38" t="s">
        <v>152</v>
      </c>
      <c r="D38" s="33">
        <v>1250</v>
      </c>
      <c r="E38">
        <v>140</v>
      </c>
      <c r="F38" s="33">
        <v>1130</v>
      </c>
      <c r="G38" s="33">
        <v>1270</v>
      </c>
      <c r="H38">
        <v>40</v>
      </c>
      <c r="I38" s="33">
        <v>1740</v>
      </c>
    </row>
    <row r="39" spans="1:9" x14ac:dyDescent="0.25">
      <c r="A39" t="s">
        <v>74</v>
      </c>
      <c r="B39" t="s">
        <v>151</v>
      </c>
      <c r="C39" t="s">
        <v>152</v>
      </c>
      <c r="D39" s="33">
        <v>1340</v>
      </c>
      <c r="E39">
        <v>213</v>
      </c>
      <c r="F39" s="33">
        <v>1097</v>
      </c>
      <c r="G39" s="33">
        <v>1310</v>
      </c>
      <c r="H39">
        <v>10</v>
      </c>
      <c r="I39" s="33">
        <v>2010</v>
      </c>
    </row>
    <row r="40" spans="1:9" x14ac:dyDescent="0.25">
      <c r="A40" t="s">
        <v>76</v>
      </c>
      <c r="B40" t="s">
        <v>151</v>
      </c>
      <c r="C40" t="s">
        <v>152</v>
      </c>
      <c r="D40" s="33">
        <v>1250</v>
      </c>
      <c r="E40">
        <v>80</v>
      </c>
      <c r="F40" s="33">
        <v>1160</v>
      </c>
      <c r="G40" s="33">
        <v>1240</v>
      </c>
      <c r="H40">
        <v>30</v>
      </c>
      <c r="I40" s="33">
        <v>5580</v>
      </c>
    </row>
    <row r="41" spans="1:9" x14ac:dyDescent="0.25">
      <c r="A41" t="s">
        <v>78</v>
      </c>
      <c r="B41" t="s">
        <v>151</v>
      </c>
      <c r="C41" t="s">
        <v>152</v>
      </c>
      <c r="D41" s="33">
        <v>1770</v>
      </c>
      <c r="E41">
        <v>250.79</v>
      </c>
      <c r="F41" s="33">
        <v>1369.21</v>
      </c>
      <c r="G41" s="33">
        <v>1620</v>
      </c>
      <c r="H41">
        <v>0</v>
      </c>
      <c r="I41" s="33">
        <v>7930.35</v>
      </c>
    </row>
    <row r="42" spans="1:9" x14ac:dyDescent="0.25">
      <c r="A42" t="s">
        <v>80</v>
      </c>
      <c r="B42" t="s">
        <v>151</v>
      </c>
      <c r="C42" t="s">
        <v>152</v>
      </c>
      <c r="D42" s="33">
        <v>2010</v>
      </c>
      <c r="E42">
        <v>201</v>
      </c>
      <c r="F42" s="33">
        <v>1809</v>
      </c>
      <c r="G42" s="33">
        <v>2010</v>
      </c>
      <c r="H42">
        <v>17.100000000000001</v>
      </c>
      <c r="I42" s="33">
        <v>3015.3</v>
      </c>
    </row>
    <row r="43" spans="1:9" x14ac:dyDescent="0.25">
      <c r="A43" t="s">
        <v>82</v>
      </c>
      <c r="B43" t="s">
        <v>151</v>
      </c>
      <c r="C43" t="s">
        <v>152</v>
      </c>
      <c r="D43" s="33">
        <v>5500</v>
      </c>
      <c r="E43">
        <v>130</v>
      </c>
      <c r="F43" s="33">
        <v>5300</v>
      </c>
      <c r="G43" s="33">
        <v>5430</v>
      </c>
      <c r="H43">
        <v>0</v>
      </c>
      <c r="I43" s="33">
        <v>4480</v>
      </c>
    </row>
    <row r="44" spans="1:9" x14ac:dyDescent="0.25">
      <c r="A44" t="s">
        <v>84</v>
      </c>
      <c r="B44" t="s">
        <v>151</v>
      </c>
      <c r="C44" t="s">
        <v>152</v>
      </c>
      <c r="D44">
        <v>7862.45</v>
      </c>
      <c r="E44">
        <v>245.8</v>
      </c>
      <c r="F44">
        <v>7658.75</v>
      </c>
      <c r="G44">
        <v>7904.55</v>
      </c>
      <c r="H44">
        <v>-10</v>
      </c>
      <c r="I44">
        <v>769.75</v>
      </c>
    </row>
    <row r="45" spans="1:9" x14ac:dyDescent="0.25">
      <c r="A45" t="s">
        <v>157</v>
      </c>
      <c r="B45" t="s">
        <v>151</v>
      </c>
      <c r="C45" t="s">
        <v>152</v>
      </c>
      <c r="D45" s="33">
        <v>3023.9</v>
      </c>
      <c r="E45">
        <v>199.5</v>
      </c>
      <c r="F45" s="33">
        <v>2824.4</v>
      </c>
      <c r="G45" s="33">
        <v>3023.9</v>
      </c>
      <c r="H45">
        <v>20</v>
      </c>
      <c r="I45" s="33">
        <v>3740</v>
      </c>
    </row>
    <row r="46" spans="1:9" x14ac:dyDescent="0.25">
      <c r="A46" t="s">
        <v>86</v>
      </c>
      <c r="B46" t="s">
        <v>151</v>
      </c>
      <c r="C46" t="s">
        <v>152</v>
      </c>
      <c r="D46">
        <v>4490</v>
      </c>
      <c r="E46">
        <v>180</v>
      </c>
      <c r="F46">
        <v>4300</v>
      </c>
      <c r="G46">
        <v>4480</v>
      </c>
      <c r="H46">
        <v>0</v>
      </c>
      <c r="I46">
        <v>940</v>
      </c>
    </row>
    <row r="47" spans="1:9" x14ac:dyDescent="0.25">
      <c r="A47" t="s">
        <v>88</v>
      </c>
      <c r="B47" t="s">
        <v>151</v>
      </c>
      <c r="C47" t="s">
        <v>152</v>
      </c>
      <c r="D47">
        <v>880.8</v>
      </c>
      <c r="E47">
        <v>88.95</v>
      </c>
      <c r="F47">
        <v>762.9</v>
      </c>
      <c r="G47">
        <v>851.85</v>
      </c>
      <c r="H47">
        <v>0</v>
      </c>
      <c r="I47">
        <v>820</v>
      </c>
    </row>
    <row r="48" spans="1:9" x14ac:dyDescent="0.25">
      <c r="A48" t="s">
        <v>90</v>
      </c>
      <c r="B48" t="s">
        <v>151</v>
      </c>
      <c r="C48" t="s">
        <v>152</v>
      </c>
      <c r="D48" s="33">
        <v>3730</v>
      </c>
      <c r="E48">
        <v>370</v>
      </c>
      <c r="F48" s="33">
        <v>3360</v>
      </c>
      <c r="G48" s="33">
        <v>3730</v>
      </c>
      <c r="H48">
        <v>0</v>
      </c>
      <c r="I48" s="33">
        <v>1230</v>
      </c>
    </row>
    <row r="49" spans="1:9" x14ac:dyDescent="0.25">
      <c r="A49" t="s">
        <v>92</v>
      </c>
      <c r="B49" t="s">
        <v>151</v>
      </c>
      <c r="C49" t="s">
        <v>152</v>
      </c>
      <c r="D49">
        <v>940</v>
      </c>
      <c r="E49">
        <v>40</v>
      </c>
      <c r="F49">
        <v>900</v>
      </c>
      <c r="G49">
        <v>940</v>
      </c>
      <c r="H49">
        <v>0</v>
      </c>
      <c r="I49">
        <v>750</v>
      </c>
    </row>
    <row r="50" spans="1:9" x14ac:dyDescent="0.25">
      <c r="A50" t="s">
        <v>94</v>
      </c>
      <c r="B50" t="s">
        <v>151</v>
      </c>
      <c r="C50" t="s">
        <v>152</v>
      </c>
      <c r="D50">
        <v>860</v>
      </c>
      <c r="E50">
        <v>20</v>
      </c>
      <c r="F50" s="33">
        <v>830</v>
      </c>
      <c r="G50" s="33">
        <v>850</v>
      </c>
      <c r="H50">
        <v>225</v>
      </c>
      <c r="I50" s="33">
        <v>1530</v>
      </c>
    </row>
    <row r="51" spans="1:9" x14ac:dyDescent="0.25">
      <c r="A51" t="s">
        <v>96</v>
      </c>
      <c r="B51" t="s">
        <v>151</v>
      </c>
      <c r="C51" t="s">
        <v>152</v>
      </c>
      <c r="D51" s="33">
        <v>1200</v>
      </c>
      <c r="E51">
        <v>130</v>
      </c>
      <c r="F51" s="33">
        <v>1070</v>
      </c>
      <c r="G51" s="33">
        <v>1200</v>
      </c>
      <c r="H51">
        <v>0</v>
      </c>
      <c r="I51" s="33">
        <v>4730</v>
      </c>
    </row>
    <row r="52" spans="1:9" x14ac:dyDescent="0.25">
      <c r="A52" t="s">
        <v>98</v>
      </c>
      <c r="B52" t="s">
        <v>151</v>
      </c>
      <c r="C52" t="s">
        <v>152</v>
      </c>
      <c r="D52" s="33">
        <v>760</v>
      </c>
      <c r="E52">
        <v>100</v>
      </c>
      <c r="F52" s="33">
        <v>650</v>
      </c>
      <c r="G52" s="33">
        <v>750</v>
      </c>
      <c r="H52">
        <v>50</v>
      </c>
      <c r="I52" s="33">
        <v>3593.33</v>
      </c>
    </row>
    <row r="53" spans="1:9" x14ac:dyDescent="0.25">
      <c r="A53" t="s">
        <v>100</v>
      </c>
      <c r="B53" t="s">
        <v>151</v>
      </c>
      <c r="C53" t="s">
        <v>152</v>
      </c>
      <c r="D53" s="33">
        <v>1910</v>
      </c>
      <c r="E53">
        <v>40</v>
      </c>
      <c r="F53" s="33">
        <v>1263.9000000000001</v>
      </c>
      <c r="G53" s="33">
        <v>1303.9000000000001</v>
      </c>
      <c r="H53">
        <v>0</v>
      </c>
      <c r="I53" s="33">
        <v>3110</v>
      </c>
    </row>
    <row r="54" spans="1:9" x14ac:dyDescent="0.25">
      <c r="A54" t="s">
        <v>120</v>
      </c>
      <c r="B54" t="s">
        <v>151</v>
      </c>
      <c r="C54" t="s">
        <v>152</v>
      </c>
      <c r="D54" s="33">
        <v>4720</v>
      </c>
      <c r="E54">
        <v>290</v>
      </c>
      <c r="F54" s="33">
        <v>4420</v>
      </c>
      <c r="G54" s="33">
        <v>4710</v>
      </c>
      <c r="H54">
        <v>0</v>
      </c>
      <c r="I54" s="33">
        <v>1680</v>
      </c>
    </row>
    <row r="55" spans="1:9" x14ac:dyDescent="0.25">
      <c r="A55" t="s">
        <v>122</v>
      </c>
      <c r="B55" t="s">
        <v>151</v>
      </c>
      <c r="C55" t="s">
        <v>152</v>
      </c>
      <c r="D55" s="33">
        <v>3580</v>
      </c>
      <c r="E55">
        <v>320</v>
      </c>
      <c r="F55" s="33">
        <v>3176.67</v>
      </c>
      <c r="G55" s="33">
        <v>3496.67</v>
      </c>
      <c r="H55">
        <v>-20</v>
      </c>
      <c r="I55" s="33">
        <v>2170</v>
      </c>
    </row>
    <row r="56" spans="1:9" x14ac:dyDescent="0.25">
      <c r="A56" t="s">
        <v>124</v>
      </c>
      <c r="B56" t="s">
        <v>151</v>
      </c>
      <c r="C56" t="s">
        <v>152</v>
      </c>
      <c r="D56" s="33">
        <v>3070</v>
      </c>
      <c r="E56">
        <v>240</v>
      </c>
      <c r="F56" s="33">
        <v>2830</v>
      </c>
      <c r="G56" s="33">
        <v>3070</v>
      </c>
      <c r="H56">
        <v>20</v>
      </c>
      <c r="I56" s="33">
        <v>4990</v>
      </c>
    </row>
    <row r="57" spans="1:9" x14ac:dyDescent="0.25">
      <c r="A57" t="s">
        <v>102</v>
      </c>
      <c r="B57" t="s">
        <v>151</v>
      </c>
      <c r="C57" t="s">
        <v>152</v>
      </c>
      <c r="D57">
        <v>1660</v>
      </c>
      <c r="E57">
        <v>170</v>
      </c>
      <c r="F57">
        <v>1510</v>
      </c>
      <c r="G57">
        <v>1680</v>
      </c>
      <c r="H57">
        <v>39.700000000000003</v>
      </c>
      <c r="I57">
        <v>740.8</v>
      </c>
    </row>
    <row r="58" spans="1:9" x14ac:dyDescent="0.25">
      <c r="A58" t="s">
        <v>104</v>
      </c>
      <c r="B58" t="s">
        <v>151</v>
      </c>
      <c r="C58" t="s">
        <v>152</v>
      </c>
      <c r="D58">
        <v>2250</v>
      </c>
      <c r="E58">
        <v>80</v>
      </c>
      <c r="F58">
        <v>2130</v>
      </c>
      <c r="G58">
        <v>2210</v>
      </c>
      <c r="H58">
        <v>0</v>
      </c>
      <c r="I58">
        <v>200</v>
      </c>
    </row>
    <row r="59" spans="1:9" x14ac:dyDescent="0.25">
      <c r="A59" t="s">
        <v>106</v>
      </c>
      <c r="B59" t="s">
        <v>151</v>
      </c>
      <c r="C59" t="s">
        <v>152</v>
      </c>
      <c r="D59" s="33">
        <v>5010</v>
      </c>
      <c r="E59">
        <v>380</v>
      </c>
      <c r="F59" s="33">
        <v>4620</v>
      </c>
      <c r="G59" s="33">
        <v>5000</v>
      </c>
      <c r="H59">
        <v>28.94</v>
      </c>
      <c r="I59" s="33">
        <v>4820</v>
      </c>
    </row>
    <row r="60" spans="1:9" x14ac:dyDescent="0.25">
      <c r="A60" t="s">
        <v>158</v>
      </c>
      <c r="B60" t="s">
        <v>151</v>
      </c>
      <c r="C60" t="s">
        <v>152</v>
      </c>
      <c r="D60" s="33">
        <v>712.5</v>
      </c>
      <c r="E60">
        <v>279.3</v>
      </c>
      <c r="F60" s="33">
        <v>410.4</v>
      </c>
      <c r="G60" s="33">
        <v>689.7</v>
      </c>
      <c r="H60">
        <v>130</v>
      </c>
      <c r="I60" s="33">
        <v>1990</v>
      </c>
    </row>
    <row r="61" spans="1:9" x14ac:dyDescent="0.25">
      <c r="A61" t="s">
        <v>108</v>
      </c>
      <c r="B61" t="s">
        <v>151</v>
      </c>
      <c r="C61" t="s">
        <v>152</v>
      </c>
      <c r="D61" s="33">
        <v>230</v>
      </c>
      <c r="E61">
        <v>30</v>
      </c>
      <c r="F61" s="33">
        <v>140</v>
      </c>
      <c r="G61" s="33">
        <v>170</v>
      </c>
      <c r="H61">
        <v>0</v>
      </c>
      <c r="I61" s="33">
        <v>2120</v>
      </c>
    </row>
    <row r="62" spans="1:9" x14ac:dyDescent="0.25">
      <c r="A62" t="s">
        <v>110</v>
      </c>
      <c r="B62" t="s">
        <v>151</v>
      </c>
      <c r="C62" t="s">
        <v>152</v>
      </c>
      <c r="D62">
        <v>4170</v>
      </c>
      <c r="E62">
        <v>2021.75</v>
      </c>
      <c r="F62">
        <v>2147.62</v>
      </c>
      <c r="G62">
        <v>4169.37</v>
      </c>
      <c r="H62">
        <v>0</v>
      </c>
      <c r="I62">
        <v>404.7</v>
      </c>
    </row>
    <row r="63" spans="1:9" x14ac:dyDescent="0.25">
      <c r="A63" t="s">
        <v>112</v>
      </c>
      <c r="B63" t="s">
        <v>151</v>
      </c>
      <c r="C63" t="s">
        <v>152</v>
      </c>
      <c r="D63" s="33">
        <v>1980</v>
      </c>
      <c r="E63">
        <v>140</v>
      </c>
      <c r="F63" s="33">
        <v>1780.54</v>
      </c>
      <c r="G63" s="33">
        <v>1920.54</v>
      </c>
      <c r="H63">
        <v>0</v>
      </c>
      <c r="I63" s="33">
        <v>2958.05</v>
      </c>
    </row>
    <row r="64" spans="1:9" x14ac:dyDescent="0.25">
      <c r="A64" t="s">
        <v>114</v>
      </c>
      <c r="B64" t="s">
        <v>151</v>
      </c>
      <c r="C64" t="s">
        <v>152</v>
      </c>
      <c r="D64" s="33">
        <v>2130</v>
      </c>
      <c r="E64">
        <v>130</v>
      </c>
      <c r="F64" s="33">
        <v>2000</v>
      </c>
      <c r="G64" s="33">
        <v>2130</v>
      </c>
      <c r="H64">
        <v>8.9499999999999993</v>
      </c>
      <c r="I64" s="33">
        <v>2972.9</v>
      </c>
    </row>
    <row r="65" spans="1:9" x14ac:dyDescent="0.25">
      <c r="A65" t="s">
        <v>159</v>
      </c>
      <c r="B65" t="s">
        <v>151</v>
      </c>
      <c r="C65" t="s">
        <v>152</v>
      </c>
      <c r="D65">
        <v>421.8</v>
      </c>
      <c r="E65">
        <v>28.5</v>
      </c>
      <c r="F65">
        <v>387.6</v>
      </c>
      <c r="G65">
        <v>416.1</v>
      </c>
      <c r="H65">
        <v>0</v>
      </c>
      <c r="I65">
        <v>244</v>
      </c>
    </row>
    <row r="66" spans="1:9" x14ac:dyDescent="0.25">
      <c r="A66" t="s">
        <v>116</v>
      </c>
      <c r="B66" t="s">
        <v>151</v>
      </c>
      <c r="C66" t="s">
        <v>152</v>
      </c>
      <c r="D66" s="33">
        <v>2736.45</v>
      </c>
      <c r="E66">
        <v>103.7</v>
      </c>
      <c r="F66" s="33">
        <v>2844.35</v>
      </c>
      <c r="G66" s="33">
        <v>2948.05</v>
      </c>
      <c r="H66">
        <v>13.8</v>
      </c>
      <c r="I66" s="33">
        <v>2789.7</v>
      </c>
    </row>
    <row r="67" spans="1:9" x14ac:dyDescent="0.25">
      <c r="A67" t="s">
        <v>118</v>
      </c>
      <c r="B67" t="s">
        <v>151</v>
      </c>
      <c r="C67" t="s">
        <v>152</v>
      </c>
      <c r="D67">
        <v>2972.9</v>
      </c>
      <c r="E67">
        <v>67.900000000000006</v>
      </c>
      <c r="F67">
        <v>2905</v>
      </c>
      <c r="G67">
        <v>2972.9</v>
      </c>
      <c r="H67">
        <v>20</v>
      </c>
      <c r="I67">
        <v>720</v>
      </c>
    </row>
    <row r="68" spans="1:9" x14ac:dyDescent="0.25">
      <c r="A68" t="s">
        <v>126</v>
      </c>
      <c r="B68" t="s">
        <v>151</v>
      </c>
      <c r="C68" t="s">
        <v>152</v>
      </c>
      <c r="D68" s="33">
        <v>20</v>
      </c>
      <c r="E68">
        <v>0</v>
      </c>
      <c r="F68" s="33">
        <v>10</v>
      </c>
      <c r="G68" s="33">
        <v>10</v>
      </c>
      <c r="H68">
        <v>30</v>
      </c>
      <c r="I68" s="33">
        <v>3920</v>
      </c>
    </row>
    <row r="69" spans="1:9" x14ac:dyDescent="0.25">
      <c r="A69" t="s">
        <v>128</v>
      </c>
      <c r="B69" t="s">
        <v>151</v>
      </c>
      <c r="C69" t="s">
        <v>152</v>
      </c>
      <c r="D69" s="33">
        <v>249</v>
      </c>
      <c r="E69">
        <v>70</v>
      </c>
      <c r="F69" s="33">
        <v>177</v>
      </c>
      <c r="G69" s="33">
        <v>247</v>
      </c>
      <c r="H69">
        <v>10</v>
      </c>
      <c r="I69" s="33">
        <v>5070</v>
      </c>
    </row>
    <row r="70" spans="1:9" x14ac:dyDescent="0.25">
      <c r="A70" t="s">
        <v>160</v>
      </c>
      <c r="B70" t="s">
        <v>151</v>
      </c>
      <c r="C70" t="s">
        <v>152</v>
      </c>
      <c r="D70" s="33">
        <v>2787.3</v>
      </c>
      <c r="E70">
        <v>347.7</v>
      </c>
      <c r="F70" s="33">
        <v>2388.3000000000002</v>
      </c>
      <c r="G70" s="33">
        <v>2736</v>
      </c>
      <c r="I70" s="33"/>
    </row>
    <row r="71" spans="1:9" x14ac:dyDescent="0.25">
      <c r="A71" t="s">
        <v>130</v>
      </c>
      <c r="B71" t="s">
        <v>151</v>
      </c>
      <c r="C71" t="s">
        <v>152</v>
      </c>
      <c r="D71" s="33">
        <v>740</v>
      </c>
      <c r="E71">
        <v>30</v>
      </c>
      <c r="F71" s="33">
        <v>690</v>
      </c>
      <c r="G71" s="33">
        <v>720</v>
      </c>
      <c r="I71" s="33"/>
    </row>
    <row r="72" spans="1:9" x14ac:dyDescent="0.25">
      <c r="A72" t="s">
        <v>132</v>
      </c>
      <c r="B72" t="s">
        <v>151</v>
      </c>
      <c r="C72" t="s">
        <v>152</v>
      </c>
      <c r="D72" s="33">
        <v>3870</v>
      </c>
      <c r="E72">
        <v>540</v>
      </c>
      <c r="F72" s="33">
        <v>3290</v>
      </c>
      <c r="G72" s="33">
        <v>3830</v>
      </c>
      <c r="I72" s="33"/>
    </row>
    <row r="73" spans="1:9" x14ac:dyDescent="0.25">
      <c r="A73" t="s">
        <v>134</v>
      </c>
      <c r="B73" t="s">
        <v>151</v>
      </c>
      <c r="C73" t="s">
        <v>152</v>
      </c>
      <c r="D73" s="33">
        <v>5060</v>
      </c>
      <c r="E73">
        <v>230</v>
      </c>
      <c r="F73" s="33">
        <v>4820</v>
      </c>
      <c r="G73" s="33">
        <v>5050</v>
      </c>
      <c r="I73" s="3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7B94B-2280-4EC1-BBF8-D5500F8AE246}">
  <dimension ref="A1:D92"/>
  <sheetViews>
    <sheetView workbookViewId="0">
      <pane ySplit="1" topLeftCell="A78" activePane="bottomLeft" state="frozen"/>
      <selection pane="bottomLeft" activeCell="A86" sqref="A86"/>
    </sheetView>
  </sheetViews>
  <sheetFormatPr defaultRowHeight="15" x14ac:dyDescent="0.25"/>
  <cols>
    <col min="1" max="1" width="58.140625" customWidth="1"/>
    <col min="2" max="2" width="12.140625" customWidth="1"/>
    <col min="3" max="3" width="13.140625" bestFit="1" customWidth="1"/>
    <col min="4" max="4" width="14.5703125" customWidth="1"/>
  </cols>
  <sheetData>
    <row r="1" spans="1:4" x14ac:dyDescent="0.25">
      <c r="A1" s="2" t="s">
        <v>0</v>
      </c>
      <c r="B1" s="2" t="s">
        <v>1</v>
      </c>
      <c r="C1" s="2" t="s">
        <v>161</v>
      </c>
      <c r="D1" s="2" t="s">
        <v>2</v>
      </c>
    </row>
    <row r="2" spans="1:4" x14ac:dyDescent="0.25">
      <c r="A2" s="1" t="s">
        <v>7</v>
      </c>
      <c r="B2" s="1">
        <v>579</v>
      </c>
      <c r="C2" s="1">
        <v>7.85</v>
      </c>
      <c r="D2" s="1">
        <v>4545.1499999999996</v>
      </c>
    </row>
    <row r="3" spans="1:4" x14ac:dyDescent="0.25">
      <c r="A3" s="1" t="s">
        <v>9</v>
      </c>
      <c r="B3" s="1">
        <v>36</v>
      </c>
      <c r="C3" s="1">
        <v>6.8</v>
      </c>
      <c r="D3" s="1">
        <v>244.79999999999998</v>
      </c>
    </row>
    <row r="4" spans="1:4" x14ac:dyDescent="0.25">
      <c r="A4" s="1" t="s">
        <v>9</v>
      </c>
      <c r="B4" s="1">
        <v>5</v>
      </c>
      <c r="C4" s="1">
        <v>7.8</v>
      </c>
      <c r="D4" s="1">
        <v>39</v>
      </c>
    </row>
    <row r="5" spans="1:4" x14ac:dyDescent="0.25">
      <c r="A5" s="1" t="s">
        <v>9</v>
      </c>
      <c r="B5" s="1">
        <v>1</v>
      </c>
      <c r="C5" s="1">
        <v>7.85</v>
      </c>
      <c r="D5" s="1">
        <v>7.85</v>
      </c>
    </row>
    <row r="6" spans="1:4" x14ac:dyDescent="0.25">
      <c r="A6" s="1" t="s">
        <v>9</v>
      </c>
      <c r="B6" s="1">
        <v>11</v>
      </c>
      <c r="C6" s="1">
        <v>12.8</v>
      </c>
      <c r="D6" s="1">
        <v>140.80000000000001</v>
      </c>
    </row>
    <row r="7" spans="1:4" x14ac:dyDescent="0.25">
      <c r="A7" s="1" t="s">
        <v>11</v>
      </c>
      <c r="B7" s="1">
        <v>118</v>
      </c>
      <c r="C7" s="1">
        <v>7.85</v>
      </c>
      <c r="D7" s="1">
        <v>926.3</v>
      </c>
    </row>
    <row r="8" spans="1:4" x14ac:dyDescent="0.25">
      <c r="A8" s="1" t="s">
        <v>13</v>
      </c>
      <c r="B8" s="1">
        <v>37</v>
      </c>
      <c r="C8" s="1">
        <v>7.85</v>
      </c>
      <c r="D8" s="1">
        <v>290.45</v>
      </c>
    </row>
    <row r="9" spans="1:4" x14ac:dyDescent="0.25">
      <c r="A9" s="1" t="s">
        <v>15</v>
      </c>
      <c r="B9" s="1">
        <v>67</v>
      </c>
      <c r="C9" s="1">
        <v>6.8</v>
      </c>
      <c r="D9" s="1">
        <v>455.59999999999997</v>
      </c>
    </row>
    <row r="10" spans="1:4" x14ac:dyDescent="0.25">
      <c r="A10" s="1" t="s">
        <v>15</v>
      </c>
      <c r="B10" s="1">
        <v>55</v>
      </c>
      <c r="C10" s="1">
        <v>7.85</v>
      </c>
      <c r="D10" s="1">
        <v>431.75</v>
      </c>
    </row>
    <row r="11" spans="1:4" x14ac:dyDescent="0.25">
      <c r="A11" s="1" t="s">
        <v>15</v>
      </c>
      <c r="B11" s="1">
        <v>1</v>
      </c>
      <c r="C11" s="1">
        <v>12.8</v>
      </c>
      <c r="D11" s="1">
        <v>12.8</v>
      </c>
    </row>
    <row r="12" spans="1:4" x14ac:dyDescent="0.25">
      <c r="A12" s="1" t="s">
        <v>15</v>
      </c>
      <c r="B12" s="1">
        <v>8</v>
      </c>
      <c r="C12" s="1">
        <v>14.65</v>
      </c>
      <c r="D12" s="1">
        <v>117.2</v>
      </c>
    </row>
    <row r="13" spans="1:4" x14ac:dyDescent="0.25">
      <c r="A13" s="1" t="s">
        <v>15</v>
      </c>
      <c r="B13" s="1">
        <v>2</v>
      </c>
      <c r="C13" s="1">
        <v>20.65</v>
      </c>
      <c r="D13" s="1">
        <v>41.3</v>
      </c>
    </row>
    <row r="14" spans="1:4" x14ac:dyDescent="0.25">
      <c r="A14" s="1" t="s">
        <v>17</v>
      </c>
      <c r="B14" s="1">
        <v>369</v>
      </c>
      <c r="C14" s="1">
        <v>7.85</v>
      </c>
      <c r="D14" s="1">
        <v>2896.65</v>
      </c>
    </row>
    <row r="15" spans="1:4" x14ac:dyDescent="0.25">
      <c r="A15" s="1" t="s">
        <v>19</v>
      </c>
      <c r="B15" s="1">
        <v>339</v>
      </c>
      <c r="C15" s="1">
        <v>5.95</v>
      </c>
      <c r="D15" s="1">
        <v>2017.05</v>
      </c>
    </row>
    <row r="16" spans="1:4" x14ac:dyDescent="0.25">
      <c r="A16" s="1" t="s">
        <v>19</v>
      </c>
      <c r="B16" s="1">
        <v>35</v>
      </c>
      <c r="C16" s="1">
        <v>7.85</v>
      </c>
      <c r="D16" s="1">
        <v>274.75</v>
      </c>
    </row>
    <row r="17" spans="1:4" x14ac:dyDescent="0.25">
      <c r="A17" s="1" t="s">
        <v>19</v>
      </c>
      <c r="B17" s="1">
        <v>1</v>
      </c>
      <c r="C17" s="1">
        <v>9.9499999999999993</v>
      </c>
      <c r="D17" s="1">
        <v>9.9499999999999993</v>
      </c>
    </row>
    <row r="18" spans="1:4" x14ac:dyDescent="0.25">
      <c r="A18" s="1" t="s">
        <v>21</v>
      </c>
      <c r="B18" s="1">
        <v>4</v>
      </c>
      <c r="C18" s="1">
        <v>6.85</v>
      </c>
      <c r="D18" s="1">
        <v>27.4</v>
      </c>
    </row>
    <row r="19" spans="1:4" x14ac:dyDescent="0.25">
      <c r="A19" s="1" t="s">
        <v>21</v>
      </c>
      <c r="B19" s="1">
        <v>160</v>
      </c>
      <c r="C19" s="1">
        <v>7.85</v>
      </c>
      <c r="D19" s="1">
        <v>1256</v>
      </c>
    </row>
    <row r="20" spans="1:4" x14ac:dyDescent="0.25">
      <c r="A20" s="1" t="s">
        <v>23</v>
      </c>
      <c r="B20" s="1">
        <v>3</v>
      </c>
      <c r="C20" s="1">
        <v>6.85</v>
      </c>
      <c r="D20" s="1">
        <v>20.549999999999997</v>
      </c>
    </row>
    <row r="21" spans="1:4" x14ac:dyDescent="0.25">
      <c r="A21" s="1" t="s">
        <v>23</v>
      </c>
      <c r="B21" s="1">
        <v>98</v>
      </c>
      <c r="C21" s="1">
        <v>7.85</v>
      </c>
      <c r="D21" s="1">
        <v>769.3</v>
      </c>
    </row>
    <row r="22" spans="1:4" x14ac:dyDescent="0.25">
      <c r="A22" s="1" t="s">
        <v>25</v>
      </c>
      <c r="B22" s="1">
        <v>32</v>
      </c>
      <c r="C22" s="1">
        <v>6.8</v>
      </c>
      <c r="D22" s="1">
        <v>217.6</v>
      </c>
    </row>
    <row r="23" spans="1:4" x14ac:dyDescent="0.25">
      <c r="A23" s="1" t="s">
        <v>25</v>
      </c>
      <c r="B23" s="1">
        <v>4</v>
      </c>
      <c r="C23" s="1">
        <v>7.8</v>
      </c>
      <c r="D23" s="1">
        <v>31.2</v>
      </c>
    </row>
    <row r="24" spans="1:4" x14ac:dyDescent="0.25">
      <c r="A24" s="1" t="s">
        <v>25</v>
      </c>
      <c r="B24" s="1">
        <v>10</v>
      </c>
      <c r="C24" s="1">
        <v>12.8</v>
      </c>
      <c r="D24" s="1">
        <v>128</v>
      </c>
    </row>
    <row r="25" spans="1:4" x14ac:dyDescent="0.25">
      <c r="A25" s="1" t="s">
        <v>27</v>
      </c>
      <c r="B25" s="1">
        <v>4</v>
      </c>
      <c r="C25" s="1">
        <v>7.85</v>
      </c>
      <c r="D25" s="1">
        <v>31.4</v>
      </c>
    </row>
    <row r="26" spans="1:4" x14ac:dyDescent="0.25">
      <c r="A26" s="1" t="s">
        <v>29</v>
      </c>
      <c r="B26" s="1">
        <v>232</v>
      </c>
      <c r="C26" s="1">
        <v>7.85</v>
      </c>
      <c r="D26" s="1">
        <v>1821.1999999999998</v>
      </c>
    </row>
    <row r="27" spans="1:4" x14ac:dyDescent="0.25">
      <c r="A27" s="1" t="s">
        <v>31</v>
      </c>
      <c r="B27" s="1">
        <v>571</v>
      </c>
      <c r="C27" s="1">
        <v>7.85</v>
      </c>
      <c r="D27" s="1">
        <v>4482.3499999999995</v>
      </c>
    </row>
    <row r="28" spans="1:4" x14ac:dyDescent="0.25">
      <c r="A28" s="1" t="s">
        <v>33</v>
      </c>
      <c r="B28" s="1">
        <v>198</v>
      </c>
      <c r="C28" s="1">
        <v>7.85</v>
      </c>
      <c r="D28" s="1">
        <v>1554.3</v>
      </c>
    </row>
    <row r="29" spans="1:4" x14ac:dyDescent="0.25">
      <c r="A29" s="1" t="s">
        <v>35</v>
      </c>
      <c r="B29" s="1">
        <v>471</v>
      </c>
      <c r="C29" s="1">
        <v>7.85</v>
      </c>
      <c r="D29" s="1">
        <v>3697.35</v>
      </c>
    </row>
    <row r="30" spans="1:4" x14ac:dyDescent="0.25">
      <c r="A30" s="1" t="s">
        <v>37</v>
      </c>
      <c r="B30" s="1">
        <v>13</v>
      </c>
      <c r="C30" s="1">
        <v>5.85</v>
      </c>
      <c r="D30" s="1">
        <v>76.05</v>
      </c>
    </row>
    <row r="31" spans="1:4" x14ac:dyDescent="0.25">
      <c r="A31" s="1" t="s">
        <v>37</v>
      </c>
      <c r="B31" s="1">
        <v>26</v>
      </c>
      <c r="C31" s="1">
        <v>7.85</v>
      </c>
      <c r="D31" s="1">
        <v>204.1</v>
      </c>
    </row>
    <row r="32" spans="1:4" x14ac:dyDescent="0.25">
      <c r="A32" s="1" t="s">
        <v>39</v>
      </c>
      <c r="B32" s="1">
        <v>64</v>
      </c>
      <c r="C32" s="1">
        <v>7.85</v>
      </c>
      <c r="D32" s="1">
        <v>502.4</v>
      </c>
    </row>
    <row r="33" spans="1:4" x14ac:dyDescent="0.25">
      <c r="A33" s="1" t="s">
        <v>41</v>
      </c>
      <c r="B33" s="1">
        <v>6</v>
      </c>
      <c r="C33" s="1">
        <v>5.85</v>
      </c>
      <c r="D33" s="1">
        <v>35.099999999999994</v>
      </c>
    </row>
    <row r="34" spans="1:4" x14ac:dyDescent="0.25">
      <c r="A34" s="1" t="s">
        <v>41</v>
      </c>
      <c r="B34" s="1">
        <v>6</v>
      </c>
      <c r="C34" s="1">
        <v>7.85</v>
      </c>
      <c r="D34" s="1">
        <v>47.099999999999994</v>
      </c>
    </row>
    <row r="35" spans="1:4" x14ac:dyDescent="0.25">
      <c r="A35" s="1" t="s">
        <v>43</v>
      </c>
      <c r="B35" s="1">
        <v>262</v>
      </c>
      <c r="C35" s="1">
        <v>4.8499999999999996</v>
      </c>
      <c r="D35" s="1">
        <v>1270.6999999999998</v>
      </c>
    </row>
    <row r="36" spans="1:4" x14ac:dyDescent="0.25">
      <c r="A36" s="1" t="s">
        <v>43</v>
      </c>
      <c r="B36" s="1">
        <v>162</v>
      </c>
      <c r="C36" s="1">
        <v>7.85</v>
      </c>
      <c r="D36" s="1">
        <v>1271.7</v>
      </c>
    </row>
    <row r="37" spans="1:4" x14ac:dyDescent="0.25">
      <c r="A37" s="1" t="s">
        <v>45</v>
      </c>
      <c r="B37" s="1">
        <v>271</v>
      </c>
      <c r="C37" s="1">
        <v>7.85</v>
      </c>
      <c r="D37" s="1">
        <v>2127.35</v>
      </c>
    </row>
    <row r="38" spans="1:4" x14ac:dyDescent="0.25">
      <c r="A38" s="1" t="s">
        <v>47</v>
      </c>
      <c r="B38" s="1">
        <v>134</v>
      </c>
      <c r="C38" s="1">
        <v>7.85</v>
      </c>
      <c r="D38" s="1">
        <v>1051.8999999999999</v>
      </c>
    </row>
    <row r="39" spans="1:4" x14ac:dyDescent="0.25">
      <c r="A39" s="1" t="s">
        <v>49</v>
      </c>
      <c r="B39" s="1">
        <v>177</v>
      </c>
      <c r="C39" s="1">
        <v>7.85</v>
      </c>
      <c r="D39" s="1">
        <v>1389.45</v>
      </c>
    </row>
    <row r="40" spans="1:4" x14ac:dyDescent="0.25">
      <c r="A40" s="1" t="s">
        <v>51</v>
      </c>
      <c r="B40" s="1">
        <v>248</v>
      </c>
      <c r="C40" s="1">
        <v>7.85</v>
      </c>
      <c r="D40" s="1">
        <v>1946.8</v>
      </c>
    </row>
    <row r="41" spans="1:4" x14ac:dyDescent="0.25">
      <c r="A41" s="1" t="s">
        <v>53</v>
      </c>
      <c r="B41" s="1">
        <v>287</v>
      </c>
      <c r="C41" s="1">
        <v>7.85</v>
      </c>
      <c r="D41" s="1">
        <v>2252.9499999999998</v>
      </c>
    </row>
    <row r="42" spans="1:4" x14ac:dyDescent="0.25">
      <c r="A42" s="1" t="s">
        <v>55</v>
      </c>
      <c r="B42" s="1">
        <v>242</v>
      </c>
      <c r="C42" s="1">
        <v>7.85</v>
      </c>
      <c r="D42" s="1">
        <v>1899.6999999999998</v>
      </c>
    </row>
    <row r="43" spans="1:4" x14ac:dyDescent="0.25">
      <c r="A43" s="1" t="s">
        <v>57</v>
      </c>
      <c r="B43" s="1">
        <v>23</v>
      </c>
      <c r="C43" s="1">
        <v>7.85</v>
      </c>
      <c r="D43" s="1">
        <v>180.54999999999998</v>
      </c>
    </row>
    <row r="44" spans="1:4" x14ac:dyDescent="0.25">
      <c r="A44" s="1" t="s">
        <v>59</v>
      </c>
      <c r="B44" s="1">
        <v>157</v>
      </c>
      <c r="C44" s="1">
        <v>5.85</v>
      </c>
      <c r="D44" s="1">
        <v>918.44999999999993</v>
      </c>
    </row>
    <row r="45" spans="1:4" x14ac:dyDescent="0.25">
      <c r="A45" s="1" t="s">
        <v>59</v>
      </c>
      <c r="B45" s="1">
        <v>86</v>
      </c>
      <c r="C45" s="1">
        <v>7.85</v>
      </c>
      <c r="D45" s="1">
        <v>675.1</v>
      </c>
    </row>
    <row r="46" spans="1:4" x14ac:dyDescent="0.25">
      <c r="A46" s="1" t="s">
        <v>61</v>
      </c>
      <c r="B46" s="1">
        <v>177</v>
      </c>
      <c r="C46" s="1">
        <v>7.85</v>
      </c>
      <c r="D46" s="1">
        <v>1389.45</v>
      </c>
    </row>
    <row r="47" spans="1:4" x14ac:dyDescent="0.25">
      <c r="A47" s="13" t="s">
        <v>63</v>
      </c>
      <c r="B47" s="1">
        <v>57</v>
      </c>
      <c r="C47" s="1">
        <v>6.8</v>
      </c>
      <c r="D47" s="1">
        <v>387.59999999999997</v>
      </c>
    </row>
    <row r="48" spans="1:4" x14ac:dyDescent="0.25">
      <c r="A48" s="1" t="s">
        <v>63</v>
      </c>
      <c r="B48" s="1">
        <v>121</v>
      </c>
      <c r="C48" s="1">
        <v>7.85</v>
      </c>
      <c r="D48" s="1">
        <v>949.84999999999991</v>
      </c>
    </row>
    <row r="49" spans="1:4" x14ac:dyDescent="0.25">
      <c r="A49" s="13" t="s">
        <v>65</v>
      </c>
      <c r="B49" s="1">
        <v>1</v>
      </c>
      <c r="C49" s="1">
        <v>7.85</v>
      </c>
      <c r="D49" s="1">
        <v>7.85</v>
      </c>
    </row>
    <row r="50" spans="1:4" x14ac:dyDescent="0.25">
      <c r="A50" s="1" t="s">
        <v>67</v>
      </c>
      <c r="B50" s="1">
        <v>66</v>
      </c>
      <c r="C50" s="1">
        <v>7.85</v>
      </c>
      <c r="D50" s="1">
        <v>518.1</v>
      </c>
    </row>
    <row r="51" spans="1:4" x14ac:dyDescent="0.25">
      <c r="A51" s="1" t="s">
        <v>69</v>
      </c>
      <c r="B51" s="1">
        <v>310</v>
      </c>
      <c r="C51" s="1">
        <v>7.85</v>
      </c>
      <c r="D51" s="1">
        <v>2433.5</v>
      </c>
    </row>
    <row r="52" spans="1:4" x14ac:dyDescent="0.25">
      <c r="A52" s="1" t="s">
        <v>71</v>
      </c>
      <c r="B52" s="1">
        <v>139</v>
      </c>
      <c r="C52" s="1">
        <v>7.85</v>
      </c>
      <c r="D52" s="1">
        <v>1091.1499999999999</v>
      </c>
    </row>
    <row r="53" spans="1:4" x14ac:dyDescent="0.25">
      <c r="A53" s="1" t="s">
        <v>73</v>
      </c>
      <c r="B53" s="1">
        <v>135</v>
      </c>
      <c r="C53" s="1">
        <v>7.85</v>
      </c>
      <c r="D53" s="1">
        <v>1059.75</v>
      </c>
    </row>
    <row r="54" spans="1:4" x14ac:dyDescent="0.25">
      <c r="A54" s="1" t="s">
        <v>75</v>
      </c>
      <c r="B54" s="1">
        <v>125</v>
      </c>
      <c r="C54" s="1">
        <v>7.85</v>
      </c>
      <c r="D54" s="1">
        <v>981.25</v>
      </c>
    </row>
    <row r="55" spans="1:4" x14ac:dyDescent="0.25">
      <c r="A55" s="1" t="s">
        <v>77</v>
      </c>
      <c r="B55" s="1">
        <v>177</v>
      </c>
      <c r="C55" s="1">
        <v>7.85</v>
      </c>
      <c r="D55" s="1">
        <v>1389.45</v>
      </c>
    </row>
    <row r="56" spans="1:4" x14ac:dyDescent="0.25">
      <c r="A56" s="1" t="s">
        <v>79</v>
      </c>
      <c r="B56" s="1">
        <v>201</v>
      </c>
      <c r="C56" s="1">
        <v>7.85</v>
      </c>
      <c r="D56" s="1">
        <v>1577.85</v>
      </c>
    </row>
    <row r="57" spans="1:4" x14ac:dyDescent="0.25">
      <c r="A57" s="1" t="s">
        <v>81</v>
      </c>
      <c r="B57" s="1">
        <v>548</v>
      </c>
      <c r="C57" s="1">
        <v>7.85</v>
      </c>
      <c r="D57" s="1">
        <v>4301.8</v>
      </c>
    </row>
    <row r="58" spans="1:4" x14ac:dyDescent="0.25">
      <c r="A58" s="1" t="s">
        <v>83</v>
      </c>
      <c r="B58" s="1">
        <v>131</v>
      </c>
      <c r="C58" s="1">
        <v>6.8</v>
      </c>
      <c r="D58" s="1">
        <v>890.8</v>
      </c>
    </row>
    <row r="59" spans="1:4" x14ac:dyDescent="0.25">
      <c r="A59" s="1" t="s">
        <v>83</v>
      </c>
      <c r="B59" s="1">
        <v>674</v>
      </c>
      <c r="C59" s="1">
        <v>7.85</v>
      </c>
      <c r="D59" s="1">
        <v>5290.9</v>
      </c>
    </row>
    <row r="60" spans="1:4" x14ac:dyDescent="0.25">
      <c r="A60" s="1" t="s">
        <v>85</v>
      </c>
      <c r="B60" s="1">
        <v>449</v>
      </c>
      <c r="C60" s="1">
        <v>7.85</v>
      </c>
      <c r="D60" s="1">
        <v>3524.6499999999996</v>
      </c>
    </row>
    <row r="61" spans="1:4" x14ac:dyDescent="0.25">
      <c r="A61" s="1" t="s">
        <v>87</v>
      </c>
      <c r="B61" s="1">
        <v>56</v>
      </c>
      <c r="C61" s="1">
        <v>6.8</v>
      </c>
      <c r="D61" s="1">
        <v>380.8</v>
      </c>
    </row>
    <row r="62" spans="1:4" x14ac:dyDescent="0.25">
      <c r="A62" s="1" t="s">
        <v>87</v>
      </c>
      <c r="B62" s="1">
        <v>24</v>
      </c>
      <c r="C62" s="1">
        <v>7.85</v>
      </c>
      <c r="D62" s="1">
        <v>188.39999999999998</v>
      </c>
    </row>
    <row r="63" spans="1:4" x14ac:dyDescent="0.25">
      <c r="A63" s="1" t="s">
        <v>87</v>
      </c>
      <c r="B63" s="1">
        <v>3</v>
      </c>
      <c r="C63" s="1">
        <v>12.8</v>
      </c>
      <c r="D63" s="1">
        <v>38.400000000000006</v>
      </c>
    </row>
    <row r="64" spans="1:4" x14ac:dyDescent="0.25">
      <c r="A64" s="1" t="s">
        <v>87</v>
      </c>
      <c r="B64" s="1">
        <v>5</v>
      </c>
      <c r="C64" s="1">
        <v>14.65</v>
      </c>
      <c r="D64" s="1">
        <v>73.25</v>
      </c>
    </row>
    <row r="65" spans="1:4" x14ac:dyDescent="0.25">
      <c r="A65" s="1" t="s">
        <v>89</v>
      </c>
      <c r="B65" s="1">
        <v>375</v>
      </c>
      <c r="C65" s="1">
        <v>7.85</v>
      </c>
      <c r="D65" s="1">
        <v>2943.75</v>
      </c>
    </row>
    <row r="66" spans="1:4" x14ac:dyDescent="0.25">
      <c r="A66" s="1" t="s">
        <v>91</v>
      </c>
      <c r="B66" s="1">
        <v>94</v>
      </c>
      <c r="C66" s="1">
        <v>7.85</v>
      </c>
      <c r="D66" s="1">
        <v>737.9</v>
      </c>
    </row>
    <row r="67" spans="1:4" x14ac:dyDescent="0.25">
      <c r="A67" s="1" t="s">
        <v>93</v>
      </c>
      <c r="B67" s="1">
        <v>85</v>
      </c>
      <c r="C67" s="1">
        <v>7.85</v>
      </c>
      <c r="D67" s="1">
        <v>667.25</v>
      </c>
    </row>
    <row r="68" spans="1:4" x14ac:dyDescent="0.25">
      <c r="A68" s="1" t="s">
        <v>95</v>
      </c>
      <c r="B68" s="1">
        <v>120</v>
      </c>
      <c r="C68" s="1">
        <v>7.85</v>
      </c>
      <c r="D68" s="1">
        <v>942</v>
      </c>
    </row>
    <row r="69" spans="1:4" x14ac:dyDescent="0.25">
      <c r="A69" s="1" t="s">
        <v>97</v>
      </c>
      <c r="B69" s="1">
        <v>76</v>
      </c>
      <c r="C69" s="1">
        <v>7.85</v>
      </c>
      <c r="D69" s="1">
        <v>596.6</v>
      </c>
    </row>
    <row r="70" spans="1:4" x14ac:dyDescent="0.25">
      <c r="A70" s="1" t="s">
        <v>99</v>
      </c>
      <c r="B70" s="1">
        <v>6</v>
      </c>
      <c r="C70" s="1">
        <v>7.85</v>
      </c>
      <c r="D70" s="1">
        <v>47.099999999999994</v>
      </c>
    </row>
    <row r="71" spans="1:4" x14ac:dyDescent="0.25">
      <c r="A71" s="1" t="s">
        <v>101</v>
      </c>
      <c r="B71" s="1">
        <v>172</v>
      </c>
      <c r="C71" s="1">
        <v>7.85</v>
      </c>
      <c r="D71" s="1">
        <v>1350.2</v>
      </c>
    </row>
    <row r="72" spans="1:4" x14ac:dyDescent="0.25">
      <c r="A72" s="1" t="s">
        <v>103</v>
      </c>
      <c r="B72" s="1">
        <v>216</v>
      </c>
      <c r="C72" s="1">
        <v>7.85</v>
      </c>
      <c r="D72" s="1">
        <v>1695.6</v>
      </c>
    </row>
    <row r="73" spans="1:4" x14ac:dyDescent="0.25">
      <c r="A73" s="1" t="s">
        <v>105</v>
      </c>
      <c r="B73" s="1">
        <v>501</v>
      </c>
      <c r="C73" s="1">
        <v>7.85</v>
      </c>
      <c r="D73" s="1">
        <v>3932.85</v>
      </c>
    </row>
    <row r="74" spans="1:4" x14ac:dyDescent="0.25">
      <c r="A74" s="1" t="s">
        <v>107</v>
      </c>
      <c r="B74" s="1">
        <v>23</v>
      </c>
      <c r="C74" s="1">
        <v>7.85</v>
      </c>
      <c r="D74" s="1">
        <v>180.54999999999998</v>
      </c>
    </row>
    <row r="75" spans="1:4" x14ac:dyDescent="0.25">
      <c r="A75" s="1" t="s">
        <v>109</v>
      </c>
      <c r="B75" s="1">
        <v>416</v>
      </c>
      <c r="C75" s="1">
        <v>7.85</v>
      </c>
      <c r="D75" s="1">
        <v>3265.6</v>
      </c>
    </row>
    <row r="76" spans="1:4" x14ac:dyDescent="0.25">
      <c r="A76" s="1" t="s">
        <v>111</v>
      </c>
      <c r="B76" s="1">
        <v>198</v>
      </c>
      <c r="C76" s="1">
        <v>7.85</v>
      </c>
      <c r="D76" s="1">
        <v>1554.3</v>
      </c>
    </row>
    <row r="77" spans="1:4" x14ac:dyDescent="0.25">
      <c r="A77" s="1" t="s">
        <v>113</v>
      </c>
      <c r="B77" s="1">
        <v>214</v>
      </c>
      <c r="C77" s="1">
        <v>7.85</v>
      </c>
      <c r="D77" s="1">
        <v>1679.8999999999999</v>
      </c>
    </row>
    <row r="78" spans="1:4" x14ac:dyDescent="0.25">
      <c r="A78" s="1" t="s">
        <v>115</v>
      </c>
      <c r="B78" s="1">
        <v>98</v>
      </c>
      <c r="C78" s="1">
        <v>6.8</v>
      </c>
      <c r="D78" s="1">
        <v>666.4</v>
      </c>
    </row>
    <row r="79" spans="1:4" x14ac:dyDescent="0.25">
      <c r="A79" s="1" t="s">
        <v>115</v>
      </c>
      <c r="B79" s="1">
        <v>205</v>
      </c>
      <c r="C79" s="1">
        <v>7.85</v>
      </c>
      <c r="D79" s="1">
        <v>1609.25</v>
      </c>
    </row>
    <row r="80" spans="1:4" x14ac:dyDescent="0.25">
      <c r="A80" s="1" t="s">
        <v>115</v>
      </c>
      <c r="B80" s="1">
        <v>2</v>
      </c>
      <c r="C80" s="1">
        <v>12.8</v>
      </c>
      <c r="D80" s="1">
        <v>25.6</v>
      </c>
    </row>
    <row r="81" spans="1:4" x14ac:dyDescent="0.25">
      <c r="A81" s="1" t="s">
        <v>117</v>
      </c>
      <c r="B81" s="1">
        <v>102</v>
      </c>
      <c r="C81" s="1">
        <v>6.8</v>
      </c>
      <c r="D81" s="1">
        <v>693.6</v>
      </c>
    </row>
    <row r="82" spans="1:4" x14ac:dyDescent="0.25">
      <c r="A82" s="1" t="s">
        <v>117</v>
      </c>
      <c r="B82" s="1">
        <v>205</v>
      </c>
      <c r="C82" s="1">
        <v>7.85</v>
      </c>
      <c r="D82" s="1">
        <v>1609.25</v>
      </c>
    </row>
    <row r="83" spans="1:4" x14ac:dyDescent="0.25">
      <c r="A83" s="1" t="s">
        <v>119</v>
      </c>
      <c r="B83" s="1">
        <v>473</v>
      </c>
      <c r="C83" s="1">
        <v>7.85</v>
      </c>
      <c r="D83" s="1">
        <v>3713.0499999999997</v>
      </c>
    </row>
    <row r="84" spans="1:4" x14ac:dyDescent="0.25">
      <c r="A84" s="1" t="s">
        <v>121</v>
      </c>
      <c r="B84" s="1">
        <v>360</v>
      </c>
      <c r="C84" s="1">
        <v>7.85</v>
      </c>
      <c r="D84" s="1">
        <v>2826</v>
      </c>
    </row>
    <row r="85" spans="1:4" x14ac:dyDescent="0.25">
      <c r="A85" s="1" t="s">
        <v>123</v>
      </c>
      <c r="B85" s="1">
        <v>307</v>
      </c>
      <c r="C85" s="1">
        <v>7.85</v>
      </c>
      <c r="D85" s="1">
        <v>2409.9499999999998</v>
      </c>
    </row>
    <row r="86" spans="1:4" x14ac:dyDescent="0.25">
      <c r="A86" s="1" t="s">
        <v>125</v>
      </c>
      <c r="B86" s="1">
        <v>2</v>
      </c>
      <c r="C86" s="1">
        <v>7.85</v>
      </c>
      <c r="D86" s="1">
        <v>15.7</v>
      </c>
    </row>
    <row r="87" spans="1:4" x14ac:dyDescent="0.25">
      <c r="A87" s="1" t="s">
        <v>127</v>
      </c>
      <c r="B87" s="1">
        <v>1</v>
      </c>
      <c r="C87" s="1">
        <v>4.8499999999999996</v>
      </c>
      <c r="D87" s="1">
        <v>4.8499999999999996</v>
      </c>
    </row>
    <row r="88" spans="1:4" x14ac:dyDescent="0.25">
      <c r="A88" s="1" t="s">
        <v>127</v>
      </c>
      <c r="B88" s="1">
        <v>27</v>
      </c>
      <c r="C88" s="1">
        <v>7.85</v>
      </c>
      <c r="D88" s="1">
        <v>211.95</v>
      </c>
    </row>
    <row r="89" spans="1:4" x14ac:dyDescent="0.25">
      <c r="A89" s="1" t="s">
        <v>129</v>
      </c>
      <c r="B89" s="1">
        <v>74</v>
      </c>
      <c r="C89" s="1">
        <v>7.85</v>
      </c>
      <c r="D89" s="1">
        <v>580.9</v>
      </c>
    </row>
    <row r="90" spans="1:4" x14ac:dyDescent="0.25">
      <c r="A90" s="1" t="s">
        <v>131</v>
      </c>
      <c r="B90" s="1">
        <v>388</v>
      </c>
      <c r="C90" s="1">
        <v>7.85</v>
      </c>
      <c r="D90" s="1">
        <v>3045.7999999999997</v>
      </c>
    </row>
    <row r="91" spans="1:4" x14ac:dyDescent="0.25">
      <c r="A91" s="1" t="s">
        <v>133</v>
      </c>
      <c r="B91" s="1">
        <v>506</v>
      </c>
      <c r="C91" s="1">
        <v>7.85</v>
      </c>
      <c r="D91" s="1">
        <v>3972.1</v>
      </c>
    </row>
    <row r="92" spans="1:4" x14ac:dyDescent="0.25">
      <c r="B92">
        <f>SUBTOTAL(109,Table54[QTY])</f>
        <v>14260</v>
      </c>
      <c r="C92">
        <f>SUBTOTAL(109,Table54[UNIT PRICE])</f>
        <v>735.35000000000105</v>
      </c>
      <c r="D92">
        <f>SUBTOTAL(109,Table54[AMOUNT])</f>
        <v>109790.25</v>
      </c>
    </row>
  </sheetData>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equal" id="{DA83F11D-10C2-4FE5-AE78-A97385FA981A}">
            <xm:f>'Invoice Data'!$F$163</xm:f>
            <x14:dxf>
              <font>
                <color rgb="FF006100"/>
              </font>
              <fill>
                <patternFill>
                  <bgColor rgb="FFC6EFCE"/>
                </patternFill>
              </fill>
            </x14:dxf>
          </x14:cfRule>
          <xm:sqref>D92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AFA7-4A56-4C99-8646-0E262EBEDDBE}">
  <dimension ref="A1:K92"/>
  <sheetViews>
    <sheetView workbookViewId="0">
      <pane ySplit="1" topLeftCell="A78" activePane="bottomLeft" state="frozen"/>
      <selection pane="bottomLeft" activeCell="A88" sqref="A88"/>
    </sheetView>
  </sheetViews>
  <sheetFormatPr defaultRowHeight="15" x14ac:dyDescent="0.25"/>
  <cols>
    <col min="1" max="1" width="58.140625" customWidth="1"/>
    <col min="2" max="2" width="12.140625" customWidth="1"/>
    <col min="3" max="3" width="13.140625" bestFit="1" customWidth="1"/>
    <col min="4" max="4" width="14.5703125" customWidth="1"/>
  </cols>
  <sheetData>
    <row r="1" spans="1:4" x14ac:dyDescent="0.25">
      <c r="A1" s="2" t="s">
        <v>0</v>
      </c>
      <c r="B1" s="2" t="s">
        <v>1</v>
      </c>
      <c r="C1" s="2" t="s">
        <v>161</v>
      </c>
      <c r="D1" s="2" t="s">
        <v>2</v>
      </c>
    </row>
    <row r="2" spans="1:4" x14ac:dyDescent="0.25">
      <c r="A2" t="s">
        <v>7</v>
      </c>
      <c r="B2" s="1">
        <f>SUMIFS('Invoice Data'!G:G,'Invoice Data'!B:B,$A2)</f>
        <v>579</v>
      </c>
      <c r="C2" s="1">
        <v>7.85</v>
      </c>
      <c r="D2" s="1">
        <f>$B2*$C2</f>
        <v>4545.1499999999996</v>
      </c>
    </row>
    <row r="3" spans="1:4" x14ac:dyDescent="0.25">
      <c r="A3" t="s">
        <v>162</v>
      </c>
      <c r="B3" s="1">
        <f>SUMIFS('Invoice Data'!G:G,'Invoice Data'!B:B,$A3)</f>
        <v>36</v>
      </c>
      <c r="C3" s="1">
        <v>6.8</v>
      </c>
      <c r="D3" s="1">
        <f t="shared" ref="D3:D66" si="0">$B3*$C3</f>
        <v>244.79999999999998</v>
      </c>
    </row>
    <row r="4" spans="1:4" x14ac:dyDescent="0.25">
      <c r="A4" t="s">
        <v>163</v>
      </c>
      <c r="B4" s="1">
        <f>SUMIFS('Invoice Data'!G:G,'Invoice Data'!B:B,$A4)</f>
        <v>5</v>
      </c>
      <c r="C4" s="1">
        <v>7.8</v>
      </c>
      <c r="D4" s="1">
        <f t="shared" si="0"/>
        <v>39</v>
      </c>
    </row>
    <row r="5" spans="1:4" x14ac:dyDescent="0.25">
      <c r="A5" t="s">
        <v>9</v>
      </c>
      <c r="B5" s="1">
        <f>SUMIFS('Invoice Data'!G:G,'Invoice Data'!B:B,$A5)</f>
        <v>1</v>
      </c>
      <c r="C5" s="1">
        <v>7.85</v>
      </c>
      <c r="D5" s="1">
        <f t="shared" si="0"/>
        <v>7.85</v>
      </c>
    </row>
    <row r="6" spans="1:4" x14ac:dyDescent="0.25">
      <c r="A6" t="s">
        <v>164</v>
      </c>
      <c r="B6" s="1">
        <f>SUMIFS('Invoice Data'!G:G,'Invoice Data'!B:B,$A6)</f>
        <v>11</v>
      </c>
      <c r="C6" s="1">
        <v>12.8</v>
      </c>
      <c r="D6" s="1">
        <f t="shared" si="0"/>
        <v>140.80000000000001</v>
      </c>
    </row>
    <row r="7" spans="1:4" x14ac:dyDescent="0.25">
      <c r="A7" t="s">
        <v>11</v>
      </c>
      <c r="B7" s="1">
        <f>SUMIFS('Invoice Data'!G:G,'Invoice Data'!B:B,$A7)</f>
        <v>118</v>
      </c>
      <c r="C7" s="1">
        <v>7.85</v>
      </c>
      <c r="D7" s="1">
        <f t="shared" si="0"/>
        <v>926.3</v>
      </c>
    </row>
    <row r="8" spans="1:4" x14ac:dyDescent="0.25">
      <c r="A8" t="s">
        <v>13</v>
      </c>
      <c r="B8" s="1">
        <f>SUMIFS('Invoice Data'!G:G,'Invoice Data'!B:B,$A8)</f>
        <v>37</v>
      </c>
      <c r="C8" s="1">
        <v>7.85</v>
      </c>
      <c r="D8" s="1">
        <f t="shared" si="0"/>
        <v>290.45</v>
      </c>
    </row>
    <row r="9" spans="1:4" x14ac:dyDescent="0.25">
      <c r="A9" t="s">
        <v>165</v>
      </c>
      <c r="B9" s="1">
        <f>SUMIFS('Invoice Data'!G:G,'Invoice Data'!B:B,$A9)</f>
        <v>67</v>
      </c>
      <c r="C9" s="1">
        <v>6.8</v>
      </c>
      <c r="D9" s="1">
        <f t="shared" si="0"/>
        <v>455.59999999999997</v>
      </c>
    </row>
    <row r="10" spans="1:4" x14ac:dyDescent="0.25">
      <c r="A10" t="s">
        <v>15</v>
      </c>
      <c r="B10" s="1">
        <f>SUMIFS('Invoice Data'!G:G,'Invoice Data'!B:B,$A10)</f>
        <v>55</v>
      </c>
      <c r="C10" s="1">
        <v>7.85</v>
      </c>
      <c r="D10" s="1">
        <f t="shared" si="0"/>
        <v>431.75</v>
      </c>
    </row>
    <row r="11" spans="1:4" x14ac:dyDescent="0.25">
      <c r="A11" t="s">
        <v>166</v>
      </c>
      <c r="B11" s="1">
        <f>SUMIFS('Invoice Data'!G:G,'Invoice Data'!B:B,$A11)</f>
        <v>1</v>
      </c>
      <c r="C11" s="1">
        <v>12.8</v>
      </c>
      <c r="D11" s="1">
        <f t="shared" si="0"/>
        <v>12.8</v>
      </c>
    </row>
    <row r="12" spans="1:4" x14ac:dyDescent="0.25">
      <c r="A12" t="s">
        <v>167</v>
      </c>
      <c r="B12" s="1">
        <f>SUMIFS('Invoice Data'!G:G,'Invoice Data'!B:B,$A12)</f>
        <v>8</v>
      </c>
      <c r="C12" s="1">
        <v>14.65</v>
      </c>
      <c r="D12" s="1">
        <f t="shared" si="0"/>
        <v>117.2</v>
      </c>
    </row>
    <row r="13" spans="1:4" x14ac:dyDescent="0.25">
      <c r="A13" t="s">
        <v>168</v>
      </c>
      <c r="B13" s="1">
        <f>SUMIFS('Invoice Data'!G:G,'Invoice Data'!B:B,$A13)</f>
        <v>2</v>
      </c>
      <c r="C13" s="1">
        <v>20.65</v>
      </c>
      <c r="D13" s="1">
        <f t="shared" si="0"/>
        <v>41.3</v>
      </c>
    </row>
    <row r="14" spans="1:4" x14ac:dyDescent="0.25">
      <c r="A14" t="s">
        <v>17</v>
      </c>
      <c r="B14" s="1">
        <f>SUMIFS('Invoice Data'!G:G,'Invoice Data'!B:B,$A14)</f>
        <v>369</v>
      </c>
      <c r="C14" s="1">
        <v>7.85</v>
      </c>
      <c r="D14" s="1">
        <f t="shared" si="0"/>
        <v>2896.65</v>
      </c>
    </row>
    <row r="15" spans="1:4" x14ac:dyDescent="0.25">
      <c r="A15" t="s">
        <v>169</v>
      </c>
      <c r="B15" s="1">
        <f>SUMIFS('Invoice Data'!G:G,'Invoice Data'!B:B,$A15)</f>
        <v>339</v>
      </c>
      <c r="C15" s="1">
        <v>5.95</v>
      </c>
      <c r="D15" s="1">
        <f t="shared" si="0"/>
        <v>2017.05</v>
      </c>
    </row>
    <row r="16" spans="1:4" x14ac:dyDescent="0.25">
      <c r="A16" t="s">
        <v>19</v>
      </c>
      <c r="B16" s="1">
        <f>SUMIFS('Invoice Data'!G:G,'Invoice Data'!B:B,$A16)</f>
        <v>35</v>
      </c>
      <c r="C16" s="1">
        <v>7.85</v>
      </c>
      <c r="D16" s="1">
        <f t="shared" si="0"/>
        <v>274.75</v>
      </c>
    </row>
    <row r="17" spans="1:4" x14ac:dyDescent="0.25">
      <c r="A17" t="s">
        <v>170</v>
      </c>
      <c r="B17" s="1">
        <f>SUMIFS('Invoice Data'!G:G,'Invoice Data'!B:B,$A17)</f>
        <v>1</v>
      </c>
      <c r="C17" s="1">
        <v>9.9499999999999993</v>
      </c>
      <c r="D17" s="1">
        <f t="shared" si="0"/>
        <v>9.9499999999999993</v>
      </c>
    </row>
    <row r="18" spans="1:4" x14ac:dyDescent="0.25">
      <c r="A18" t="s">
        <v>171</v>
      </c>
      <c r="B18" s="1">
        <f>SUMIFS('Invoice Data'!G:G,'Invoice Data'!B:B,$A18)</f>
        <v>4</v>
      </c>
      <c r="C18" s="1">
        <v>6.85</v>
      </c>
      <c r="D18" s="1">
        <f t="shared" si="0"/>
        <v>27.4</v>
      </c>
    </row>
    <row r="19" spans="1:4" x14ac:dyDescent="0.25">
      <c r="A19" t="s">
        <v>21</v>
      </c>
      <c r="B19" s="1">
        <f>SUMIFS('Invoice Data'!G:G,'Invoice Data'!B:B,$A19)</f>
        <v>160</v>
      </c>
      <c r="C19" s="1">
        <v>7.85</v>
      </c>
      <c r="D19" s="1">
        <f t="shared" si="0"/>
        <v>1256</v>
      </c>
    </row>
    <row r="20" spans="1:4" x14ac:dyDescent="0.25">
      <c r="A20" t="s">
        <v>172</v>
      </c>
      <c r="B20" s="1">
        <f>SUMIFS('Invoice Data'!G:G,'Invoice Data'!B:B,$A20)</f>
        <v>3</v>
      </c>
      <c r="C20" s="1">
        <v>6.85</v>
      </c>
      <c r="D20" s="1">
        <f t="shared" si="0"/>
        <v>20.549999999999997</v>
      </c>
    </row>
    <row r="21" spans="1:4" x14ac:dyDescent="0.25">
      <c r="A21" t="s">
        <v>23</v>
      </c>
      <c r="B21" s="1">
        <f>SUMIFS('Invoice Data'!G:G,'Invoice Data'!B:B,$A21)</f>
        <v>98</v>
      </c>
      <c r="C21" s="1">
        <v>7.85</v>
      </c>
      <c r="D21" s="1">
        <f t="shared" si="0"/>
        <v>769.3</v>
      </c>
    </row>
    <row r="22" spans="1:4" x14ac:dyDescent="0.25">
      <c r="A22" t="s">
        <v>173</v>
      </c>
      <c r="B22" s="1">
        <f>SUMIFS('Invoice Data'!G:G,'Invoice Data'!B:B,$A22)</f>
        <v>32</v>
      </c>
      <c r="C22" s="1">
        <v>6.8</v>
      </c>
      <c r="D22" s="1">
        <f t="shared" si="0"/>
        <v>217.6</v>
      </c>
    </row>
    <row r="23" spans="1:4" x14ac:dyDescent="0.25">
      <c r="A23" t="s">
        <v>25</v>
      </c>
      <c r="B23" s="1">
        <f>SUMIFS('Invoice Data'!G:G,'Invoice Data'!B:B,$A23)</f>
        <v>4</v>
      </c>
      <c r="C23" s="1">
        <v>7.8</v>
      </c>
      <c r="D23" s="1">
        <f t="shared" si="0"/>
        <v>31.2</v>
      </c>
    </row>
    <row r="24" spans="1:4" x14ac:dyDescent="0.25">
      <c r="A24" t="s">
        <v>174</v>
      </c>
      <c r="B24" s="1">
        <f>SUMIFS('Invoice Data'!G:G,'Invoice Data'!B:B,$A24)</f>
        <v>10</v>
      </c>
      <c r="C24" s="1">
        <v>12.8</v>
      </c>
      <c r="D24" s="1">
        <f t="shared" si="0"/>
        <v>128</v>
      </c>
    </row>
    <row r="25" spans="1:4" x14ac:dyDescent="0.25">
      <c r="A25" t="s">
        <v>27</v>
      </c>
      <c r="B25" s="1">
        <f>SUMIFS('Invoice Data'!G:G,'Invoice Data'!B:B,$A25)</f>
        <v>4</v>
      </c>
      <c r="C25" s="1">
        <v>7.85</v>
      </c>
      <c r="D25" s="1">
        <f t="shared" si="0"/>
        <v>31.4</v>
      </c>
    </row>
    <row r="26" spans="1:4" x14ac:dyDescent="0.25">
      <c r="A26" t="s">
        <v>29</v>
      </c>
      <c r="B26" s="1">
        <f>SUMIFS('Invoice Data'!G:G,'Invoice Data'!B:B,$A26)</f>
        <v>232</v>
      </c>
      <c r="C26" s="1">
        <v>7.85</v>
      </c>
      <c r="D26" s="1">
        <f t="shared" si="0"/>
        <v>1821.1999999999998</v>
      </c>
    </row>
    <row r="27" spans="1:4" x14ac:dyDescent="0.25">
      <c r="A27" t="s">
        <v>31</v>
      </c>
      <c r="B27" s="1">
        <f>SUMIFS('Invoice Data'!G:G,'Invoice Data'!B:B,$A27)</f>
        <v>571</v>
      </c>
      <c r="C27" s="1">
        <v>7.85</v>
      </c>
      <c r="D27" s="1">
        <f t="shared" si="0"/>
        <v>4482.3499999999995</v>
      </c>
    </row>
    <row r="28" spans="1:4" x14ac:dyDescent="0.25">
      <c r="A28" t="s">
        <v>33</v>
      </c>
      <c r="B28" s="1">
        <f>SUMIFS('Invoice Data'!G:G,'Invoice Data'!B:B,$A28)</f>
        <v>198</v>
      </c>
      <c r="C28" s="1">
        <v>7.85</v>
      </c>
      <c r="D28" s="1">
        <f t="shared" si="0"/>
        <v>1554.3</v>
      </c>
    </row>
    <row r="29" spans="1:4" x14ac:dyDescent="0.25">
      <c r="A29" t="s">
        <v>35</v>
      </c>
      <c r="B29" s="1">
        <f>SUMIFS('Invoice Data'!G:G,'Invoice Data'!B:B,$A29)</f>
        <v>471</v>
      </c>
      <c r="C29" s="1">
        <v>7.85</v>
      </c>
      <c r="D29" s="1">
        <f t="shared" si="0"/>
        <v>3697.35</v>
      </c>
    </row>
    <row r="30" spans="1:4" x14ac:dyDescent="0.25">
      <c r="A30" t="s">
        <v>175</v>
      </c>
      <c r="B30" s="1">
        <f>SUMIFS('Invoice Data'!G:G,'Invoice Data'!B:B,$A30)</f>
        <v>13</v>
      </c>
      <c r="C30" s="1">
        <v>5.85</v>
      </c>
      <c r="D30" s="1">
        <f t="shared" si="0"/>
        <v>76.05</v>
      </c>
    </row>
    <row r="31" spans="1:4" x14ac:dyDescent="0.25">
      <c r="A31" t="s">
        <v>37</v>
      </c>
      <c r="B31" s="1">
        <f>SUMIFS('Invoice Data'!G:G,'Invoice Data'!B:B,$A31)</f>
        <v>26</v>
      </c>
      <c r="C31" s="1">
        <v>7.85</v>
      </c>
      <c r="D31" s="1">
        <f t="shared" si="0"/>
        <v>204.1</v>
      </c>
    </row>
    <row r="32" spans="1:4" x14ac:dyDescent="0.25">
      <c r="A32" t="s">
        <v>39</v>
      </c>
      <c r="B32" s="1">
        <f>SUMIFS('Invoice Data'!G:G,'Invoice Data'!B:B,$A32)</f>
        <v>64</v>
      </c>
      <c r="C32" s="1">
        <v>7.85</v>
      </c>
      <c r="D32" s="1">
        <f t="shared" si="0"/>
        <v>502.4</v>
      </c>
    </row>
    <row r="33" spans="1:11" x14ac:dyDescent="0.25">
      <c r="A33" t="s">
        <v>176</v>
      </c>
      <c r="B33" s="1">
        <f>SUMIFS('Invoice Data'!G:G,'Invoice Data'!B:B,$A33)</f>
        <v>6</v>
      </c>
      <c r="C33" s="1">
        <v>5.85</v>
      </c>
      <c r="D33" s="1">
        <f t="shared" si="0"/>
        <v>35.099999999999994</v>
      </c>
    </row>
    <row r="34" spans="1:11" x14ac:dyDescent="0.25">
      <c r="A34" t="s">
        <v>41</v>
      </c>
      <c r="B34" s="1">
        <f>SUMIFS('Invoice Data'!G:G,'Invoice Data'!B:B,$A34)</f>
        <v>6</v>
      </c>
      <c r="C34" s="1">
        <v>7.85</v>
      </c>
      <c r="D34" s="1">
        <f t="shared" si="0"/>
        <v>47.099999999999994</v>
      </c>
    </row>
    <row r="35" spans="1:11" x14ac:dyDescent="0.25">
      <c r="A35" t="s">
        <v>177</v>
      </c>
      <c r="B35" s="1">
        <f>SUMIFS('Invoice Data'!G:G,'Invoice Data'!B:B,$A35)</f>
        <v>262</v>
      </c>
      <c r="C35" s="1">
        <v>4.8499999999999996</v>
      </c>
      <c r="D35" s="1">
        <f t="shared" si="0"/>
        <v>1270.6999999999998</v>
      </c>
    </row>
    <row r="36" spans="1:11" x14ac:dyDescent="0.25">
      <c r="A36" t="s">
        <v>43</v>
      </c>
      <c r="B36" s="1">
        <f>SUMIFS('Invoice Data'!G:G,'Invoice Data'!B:B,$A36)</f>
        <v>162</v>
      </c>
      <c r="C36" s="1">
        <v>7.85</v>
      </c>
      <c r="D36" s="1">
        <f t="shared" si="0"/>
        <v>1271.7</v>
      </c>
      <c r="G36" s="22"/>
      <c r="H36" s="23"/>
      <c r="I36" s="23"/>
      <c r="J36" s="23"/>
      <c r="K36" s="23"/>
    </row>
    <row r="37" spans="1:11" x14ac:dyDescent="0.25">
      <c r="A37" t="s">
        <v>45</v>
      </c>
      <c r="B37" s="1">
        <f>SUMIFS('Invoice Data'!G:G,'Invoice Data'!B:B,$A37)</f>
        <v>271</v>
      </c>
      <c r="C37" s="1">
        <v>7.85</v>
      </c>
      <c r="D37" s="1">
        <f t="shared" si="0"/>
        <v>2127.35</v>
      </c>
      <c r="G37" s="22"/>
      <c r="H37" s="23"/>
      <c r="I37" s="23"/>
      <c r="J37" s="23"/>
      <c r="K37" s="23"/>
    </row>
    <row r="38" spans="1:11" x14ac:dyDescent="0.25">
      <c r="A38" t="s">
        <v>47</v>
      </c>
      <c r="B38" s="1">
        <f>SUMIFS('Invoice Data'!G:G,'Invoice Data'!B:B,$A38)</f>
        <v>134</v>
      </c>
      <c r="C38" s="1">
        <v>7.85</v>
      </c>
      <c r="D38" s="1">
        <f t="shared" si="0"/>
        <v>1051.8999999999999</v>
      </c>
      <c r="G38" s="23"/>
      <c r="H38" s="23"/>
      <c r="I38" s="23"/>
      <c r="J38" s="23"/>
      <c r="K38" s="23"/>
    </row>
    <row r="39" spans="1:11" x14ac:dyDescent="0.25">
      <c r="A39" t="s">
        <v>49</v>
      </c>
      <c r="B39" s="1">
        <f>SUMIFS('Invoice Data'!G:G,'Invoice Data'!B:B,$A39)</f>
        <v>177</v>
      </c>
      <c r="C39" s="1">
        <v>7.85</v>
      </c>
      <c r="D39" s="1">
        <f t="shared" si="0"/>
        <v>1389.45</v>
      </c>
      <c r="G39" s="23"/>
      <c r="H39" s="23"/>
      <c r="I39" s="23"/>
      <c r="J39" s="23"/>
      <c r="K39" s="23"/>
    </row>
    <row r="40" spans="1:11" x14ac:dyDescent="0.25">
      <c r="A40" t="s">
        <v>51</v>
      </c>
      <c r="B40" s="1">
        <f>SUMIFS('Invoice Data'!G:G,'Invoice Data'!B:B,$A40)</f>
        <v>248</v>
      </c>
      <c r="C40" s="1">
        <v>7.85</v>
      </c>
      <c r="D40" s="1">
        <f t="shared" si="0"/>
        <v>1946.8</v>
      </c>
      <c r="G40" s="23"/>
      <c r="H40" s="23"/>
      <c r="I40" s="23"/>
      <c r="J40" s="23"/>
      <c r="K40" s="23"/>
    </row>
    <row r="41" spans="1:11" x14ac:dyDescent="0.25">
      <c r="A41" t="s">
        <v>53</v>
      </c>
      <c r="B41" s="1">
        <f>SUMIFS('Invoice Data'!G:G,'Invoice Data'!B:B,$A41)</f>
        <v>287</v>
      </c>
      <c r="C41" s="1">
        <v>7.85</v>
      </c>
      <c r="D41" s="1">
        <f t="shared" si="0"/>
        <v>2252.9499999999998</v>
      </c>
      <c r="G41" s="23"/>
      <c r="H41" s="23"/>
      <c r="I41" s="23"/>
      <c r="J41" s="23"/>
      <c r="K41" s="23"/>
    </row>
    <row r="42" spans="1:11" x14ac:dyDescent="0.25">
      <c r="A42" t="s">
        <v>55</v>
      </c>
      <c r="B42" s="1">
        <f>SUMIFS('Invoice Data'!G:G,'Invoice Data'!B:B,$A42)</f>
        <v>242</v>
      </c>
      <c r="C42" s="1">
        <v>7.85</v>
      </c>
      <c r="D42" s="1">
        <f t="shared" si="0"/>
        <v>1899.6999999999998</v>
      </c>
      <c r="G42" s="23"/>
      <c r="H42" s="23"/>
      <c r="I42" s="23"/>
      <c r="J42" s="23"/>
      <c r="K42" s="23"/>
    </row>
    <row r="43" spans="1:11" x14ac:dyDescent="0.25">
      <c r="A43" t="s">
        <v>57</v>
      </c>
      <c r="B43" s="1">
        <f>SUMIFS('Invoice Data'!G:G,'Invoice Data'!B:B,$A43)</f>
        <v>23</v>
      </c>
      <c r="C43" s="1">
        <v>7.85</v>
      </c>
      <c r="D43" s="1">
        <f t="shared" si="0"/>
        <v>180.54999999999998</v>
      </c>
      <c r="G43" s="23"/>
      <c r="H43" s="23"/>
      <c r="I43" s="23"/>
      <c r="J43" s="23"/>
      <c r="K43" s="23"/>
    </row>
    <row r="44" spans="1:11" x14ac:dyDescent="0.25">
      <c r="A44" t="s">
        <v>178</v>
      </c>
      <c r="B44" s="1">
        <f>SUMIFS('Invoice Data'!G:G,'Invoice Data'!B:B,$A44)</f>
        <v>157</v>
      </c>
      <c r="C44" s="1">
        <v>5.85</v>
      </c>
      <c r="D44" s="1">
        <f t="shared" si="0"/>
        <v>918.44999999999993</v>
      </c>
      <c r="G44" s="23"/>
      <c r="H44" s="23"/>
      <c r="I44" s="23"/>
      <c r="J44" s="23"/>
      <c r="K44" s="23"/>
    </row>
    <row r="45" spans="1:11" x14ac:dyDescent="0.25">
      <c r="A45" t="s">
        <v>59</v>
      </c>
      <c r="B45" s="1">
        <f>SUMIFS('Invoice Data'!G:G,'Invoice Data'!B:B,$A45)</f>
        <v>86</v>
      </c>
      <c r="C45" s="1">
        <v>7.85</v>
      </c>
      <c r="D45" s="1">
        <f t="shared" si="0"/>
        <v>675.1</v>
      </c>
    </row>
    <row r="46" spans="1:11" x14ac:dyDescent="0.25">
      <c r="A46" t="s">
        <v>61</v>
      </c>
      <c r="B46" s="1">
        <f>SUMIFS('Invoice Data'!G:G,'Invoice Data'!B:B,$A46)</f>
        <v>177</v>
      </c>
      <c r="C46" s="1">
        <v>7.85</v>
      </c>
      <c r="D46" s="1">
        <f t="shared" si="0"/>
        <v>1389.45</v>
      </c>
    </row>
    <row r="47" spans="1:11" x14ac:dyDescent="0.25">
      <c r="A47" t="s">
        <v>179</v>
      </c>
      <c r="B47" s="1">
        <f>SUMIFS('Invoice Data'!G:G,'Invoice Data'!B:B,$A47)</f>
        <v>57</v>
      </c>
      <c r="C47" s="1">
        <v>6.8</v>
      </c>
      <c r="D47" s="1">
        <f t="shared" si="0"/>
        <v>387.59999999999997</v>
      </c>
    </row>
    <row r="48" spans="1:11" x14ac:dyDescent="0.25">
      <c r="A48" t="s">
        <v>63</v>
      </c>
      <c r="B48" s="1">
        <f>SUMIFS('Invoice Data'!G:G,'Invoice Data'!B:B,$A48)</f>
        <v>121</v>
      </c>
      <c r="C48" s="1">
        <v>7.85</v>
      </c>
      <c r="D48" s="1">
        <f t="shared" si="0"/>
        <v>949.84999999999991</v>
      </c>
    </row>
    <row r="49" spans="1:4" x14ac:dyDescent="0.25">
      <c r="A49" t="s">
        <v>65</v>
      </c>
      <c r="B49" s="1">
        <f>SUMIFS('Invoice Data'!G:G,'Invoice Data'!B:B,$A49)</f>
        <v>1</v>
      </c>
      <c r="C49" s="1">
        <v>7.85</v>
      </c>
      <c r="D49" s="1">
        <f t="shared" si="0"/>
        <v>7.85</v>
      </c>
    </row>
    <row r="50" spans="1:4" x14ac:dyDescent="0.25">
      <c r="A50" t="s">
        <v>67</v>
      </c>
      <c r="B50" s="1">
        <f>SUMIFS('Invoice Data'!G:G,'Invoice Data'!B:B,$A50)</f>
        <v>66</v>
      </c>
      <c r="C50" s="1">
        <v>7.85</v>
      </c>
      <c r="D50" s="1">
        <f t="shared" si="0"/>
        <v>518.1</v>
      </c>
    </row>
    <row r="51" spans="1:4" x14ac:dyDescent="0.25">
      <c r="A51" t="s">
        <v>69</v>
      </c>
      <c r="B51" s="1">
        <f>SUMIFS('Invoice Data'!G:G,'Invoice Data'!B:B,$A51)</f>
        <v>310</v>
      </c>
      <c r="C51" s="1">
        <v>7.85</v>
      </c>
      <c r="D51" s="1">
        <f t="shared" si="0"/>
        <v>2433.5</v>
      </c>
    </row>
    <row r="52" spans="1:4" x14ac:dyDescent="0.25">
      <c r="A52" t="s">
        <v>71</v>
      </c>
      <c r="B52" s="1">
        <f>SUMIFS('Invoice Data'!G:G,'Invoice Data'!B:B,$A52)</f>
        <v>139</v>
      </c>
      <c r="C52" s="1">
        <v>7.85</v>
      </c>
      <c r="D52" s="1">
        <f t="shared" si="0"/>
        <v>1091.1499999999999</v>
      </c>
    </row>
    <row r="53" spans="1:4" x14ac:dyDescent="0.25">
      <c r="A53" t="s">
        <v>73</v>
      </c>
      <c r="B53" s="1">
        <f>SUMIFS('Invoice Data'!G:G,'Invoice Data'!B:B,$A53)</f>
        <v>135</v>
      </c>
      <c r="C53" s="1">
        <v>7.85</v>
      </c>
      <c r="D53" s="1">
        <f t="shared" si="0"/>
        <v>1059.75</v>
      </c>
    </row>
    <row r="54" spans="1:4" x14ac:dyDescent="0.25">
      <c r="A54" t="s">
        <v>75</v>
      </c>
      <c r="B54" s="1">
        <f>SUMIFS('Invoice Data'!G:G,'Invoice Data'!B:B,$A54)</f>
        <v>125</v>
      </c>
      <c r="C54" s="1">
        <v>7.85</v>
      </c>
      <c r="D54" s="1">
        <f t="shared" si="0"/>
        <v>981.25</v>
      </c>
    </row>
    <row r="55" spans="1:4" x14ac:dyDescent="0.25">
      <c r="A55" t="s">
        <v>77</v>
      </c>
      <c r="B55" s="1">
        <f>SUMIFS('Invoice Data'!G:G,'Invoice Data'!B:B,$A55)</f>
        <v>177</v>
      </c>
      <c r="C55" s="1">
        <v>7.85</v>
      </c>
      <c r="D55" s="1">
        <f t="shared" si="0"/>
        <v>1389.45</v>
      </c>
    </row>
    <row r="56" spans="1:4" x14ac:dyDescent="0.25">
      <c r="A56" t="s">
        <v>79</v>
      </c>
      <c r="B56" s="1">
        <f>SUMIFS('Invoice Data'!G:G,'Invoice Data'!B:B,$A56)</f>
        <v>201</v>
      </c>
      <c r="C56" s="1">
        <v>7.85</v>
      </c>
      <c r="D56" s="1">
        <f t="shared" si="0"/>
        <v>1577.85</v>
      </c>
    </row>
    <row r="57" spans="1:4" x14ac:dyDescent="0.25">
      <c r="A57" t="s">
        <v>81</v>
      </c>
      <c r="B57" s="1">
        <f>SUMIFS('Invoice Data'!G:G,'Invoice Data'!B:B,$A57)</f>
        <v>548</v>
      </c>
      <c r="C57" s="1">
        <v>7.85</v>
      </c>
      <c r="D57" s="1">
        <f t="shared" si="0"/>
        <v>4301.8</v>
      </c>
    </row>
    <row r="58" spans="1:4" x14ac:dyDescent="0.25">
      <c r="A58" t="s">
        <v>180</v>
      </c>
      <c r="B58" s="1">
        <f>SUMIFS('Invoice Data'!G:G,'Invoice Data'!B:B,$A58)</f>
        <v>131</v>
      </c>
      <c r="C58" s="1">
        <v>6.8</v>
      </c>
      <c r="D58" s="1">
        <f t="shared" si="0"/>
        <v>890.8</v>
      </c>
    </row>
    <row r="59" spans="1:4" x14ac:dyDescent="0.25">
      <c r="A59" t="s">
        <v>83</v>
      </c>
      <c r="B59" s="1">
        <f>SUMIFS('Invoice Data'!G:G,'Invoice Data'!B:B,$A59)</f>
        <v>674</v>
      </c>
      <c r="C59" s="1">
        <v>7.85</v>
      </c>
      <c r="D59" s="1">
        <f t="shared" si="0"/>
        <v>5290.9</v>
      </c>
    </row>
    <row r="60" spans="1:4" x14ac:dyDescent="0.25">
      <c r="A60" t="s">
        <v>85</v>
      </c>
      <c r="B60" s="1">
        <f>SUMIFS('Invoice Data'!G:G,'Invoice Data'!B:B,$A60)</f>
        <v>449</v>
      </c>
      <c r="C60" s="1">
        <v>7.85</v>
      </c>
      <c r="D60" s="1">
        <f t="shared" si="0"/>
        <v>3524.6499999999996</v>
      </c>
    </row>
    <row r="61" spans="1:4" x14ac:dyDescent="0.25">
      <c r="A61" t="s">
        <v>181</v>
      </c>
      <c r="B61" s="1">
        <f>SUMIFS('Invoice Data'!G:G,'Invoice Data'!B:B,$A61)</f>
        <v>56</v>
      </c>
      <c r="C61" s="1">
        <v>6.8</v>
      </c>
      <c r="D61" s="1">
        <f t="shared" si="0"/>
        <v>380.8</v>
      </c>
    </row>
    <row r="62" spans="1:4" x14ac:dyDescent="0.25">
      <c r="A62" t="s">
        <v>87</v>
      </c>
      <c r="B62" s="1">
        <f>SUMIFS('Invoice Data'!G:G,'Invoice Data'!B:B,$A62)</f>
        <v>24</v>
      </c>
      <c r="C62" s="1">
        <v>7.85</v>
      </c>
      <c r="D62" s="1">
        <f t="shared" si="0"/>
        <v>188.39999999999998</v>
      </c>
    </row>
    <row r="63" spans="1:4" x14ac:dyDescent="0.25">
      <c r="A63" t="s">
        <v>182</v>
      </c>
      <c r="B63" s="1">
        <f>SUMIFS('Invoice Data'!G:G,'Invoice Data'!B:B,$A63)</f>
        <v>3</v>
      </c>
      <c r="C63" s="1">
        <v>12.8</v>
      </c>
      <c r="D63" s="1">
        <f t="shared" si="0"/>
        <v>38.400000000000006</v>
      </c>
    </row>
    <row r="64" spans="1:4" x14ac:dyDescent="0.25">
      <c r="A64" t="s">
        <v>183</v>
      </c>
      <c r="B64" s="1">
        <f>SUMIFS('Invoice Data'!G:G,'Invoice Data'!B:B,$A64)</f>
        <v>5</v>
      </c>
      <c r="C64" s="1">
        <v>14.65</v>
      </c>
      <c r="D64" s="1">
        <f t="shared" si="0"/>
        <v>73.25</v>
      </c>
    </row>
    <row r="65" spans="1:4" x14ac:dyDescent="0.25">
      <c r="A65" t="s">
        <v>89</v>
      </c>
      <c r="B65" s="1">
        <f>SUMIFS('Invoice Data'!G:G,'Invoice Data'!B:B,$A65)</f>
        <v>375</v>
      </c>
      <c r="C65" s="1">
        <v>7.85</v>
      </c>
      <c r="D65" s="1">
        <f t="shared" si="0"/>
        <v>2943.75</v>
      </c>
    </row>
    <row r="66" spans="1:4" x14ac:dyDescent="0.25">
      <c r="A66" t="s">
        <v>91</v>
      </c>
      <c r="B66" s="1">
        <f>SUMIFS('Invoice Data'!G:G,'Invoice Data'!B:B,$A66)</f>
        <v>94</v>
      </c>
      <c r="C66" s="1">
        <v>7.85</v>
      </c>
      <c r="D66" s="1">
        <f t="shared" si="0"/>
        <v>737.9</v>
      </c>
    </row>
    <row r="67" spans="1:4" x14ac:dyDescent="0.25">
      <c r="A67" t="s">
        <v>93</v>
      </c>
      <c r="B67" s="1">
        <f>SUMIFS('Invoice Data'!G:G,'Invoice Data'!B:B,$A67)</f>
        <v>85</v>
      </c>
      <c r="C67" s="1">
        <v>7.85</v>
      </c>
      <c r="D67" s="1">
        <f t="shared" ref="D67:D72" si="1">$B67*$C67</f>
        <v>667.25</v>
      </c>
    </row>
    <row r="68" spans="1:4" x14ac:dyDescent="0.25">
      <c r="A68" t="s">
        <v>95</v>
      </c>
      <c r="B68" s="1">
        <f>SUMIFS('Invoice Data'!G:G,'Invoice Data'!B:B,$A68)</f>
        <v>120</v>
      </c>
      <c r="C68" s="1">
        <v>7.85</v>
      </c>
      <c r="D68" s="1">
        <f t="shared" si="1"/>
        <v>942</v>
      </c>
    </row>
    <row r="69" spans="1:4" x14ac:dyDescent="0.25">
      <c r="A69" t="s">
        <v>97</v>
      </c>
      <c r="B69" s="1">
        <f>SUMIFS('Invoice Data'!G:G,'Invoice Data'!B:B,$A69)</f>
        <v>76</v>
      </c>
      <c r="C69" s="1">
        <v>7.85</v>
      </c>
      <c r="D69" s="1">
        <f t="shared" si="1"/>
        <v>596.6</v>
      </c>
    </row>
    <row r="70" spans="1:4" x14ac:dyDescent="0.25">
      <c r="A70" t="s">
        <v>99</v>
      </c>
      <c r="B70" s="1">
        <f>SUMIFS('Invoice Data'!G:G,'Invoice Data'!B:B,$A70)</f>
        <v>6</v>
      </c>
      <c r="C70" s="1">
        <v>7.85</v>
      </c>
      <c r="D70" s="1">
        <f t="shared" si="1"/>
        <v>47.099999999999994</v>
      </c>
    </row>
    <row r="71" spans="1:4" x14ac:dyDescent="0.25">
      <c r="A71" t="s">
        <v>101</v>
      </c>
      <c r="B71" s="1">
        <f>SUMIFS('Invoice Data'!G:G,'Invoice Data'!B:B,$A71)</f>
        <v>172</v>
      </c>
      <c r="C71" s="1">
        <v>7.85</v>
      </c>
      <c r="D71" s="1">
        <f t="shared" si="1"/>
        <v>1350.2</v>
      </c>
    </row>
    <row r="72" spans="1:4" x14ac:dyDescent="0.25">
      <c r="A72" t="s">
        <v>103</v>
      </c>
      <c r="B72" s="1">
        <f>SUMIFS('Invoice Data'!G:G,'Invoice Data'!B:B,$A72)</f>
        <v>216</v>
      </c>
      <c r="C72" s="1">
        <v>7.85</v>
      </c>
      <c r="D72" s="1">
        <f t="shared" si="1"/>
        <v>1695.6</v>
      </c>
    </row>
    <row r="73" spans="1:4" x14ac:dyDescent="0.25">
      <c r="A73" s="1" t="s">
        <v>105</v>
      </c>
      <c r="B73" s="1">
        <f>SUMIFS('Invoice Data'!G:G,'Invoice Data'!B:B,$A73)</f>
        <v>501</v>
      </c>
      <c r="C73" s="1">
        <v>7.85</v>
      </c>
      <c r="D73" s="1">
        <f>$B73*$C73</f>
        <v>3932.85</v>
      </c>
    </row>
    <row r="74" spans="1:4" x14ac:dyDescent="0.25">
      <c r="A74" s="1" t="s">
        <v>107</v>
      </c>
      <c r="B74" s="1">
        <f>SUMIFS('Invoice Data'!G:G,'Invoice Data'!B:B,$A74)</f>
        <v>23</v>
      </c>
      <c r="C74" s="1">
        <v>7.85</v>
      </c>
      <c r="D74" s="1">
        <f>$B74*$C74</f>
        <v>180.54999999999998</v>
      </c>
    </row>
    <row r="75" spans="1:4" x14ac:dyDescent="0.25">
      <c r="A75" s="1" t="s">
        <v>109</v>
      </c>
      <c r="B75" s="1">
        <f>SUMIFS('Invoice Data'!G:G,'Invoice Data'!B:B,$A75)</f>
        <v>416</v>
      </c>
      <c r="C75" s="1">
        <v>7.85</v>
      </c>
      <c r="D75" s="1">
        <f t="shared" ref="D75:D80" si="2">$B75*$C75</f>
        <v>3265.6</v>
      </c>
    </row>
    <row r="76" spans="1:4" x14ac:dyDescent="0.25">
      <c r="A76" s="1" t="s">
        <v>111</v>
      </c>
      <c r="B76" s="1">
        <f>SUMIFS('Invoice Data'!G:G,'Invoice Data'!B:B,$A76)</f>
        <v>198</v>
      </c>
      <c r="C76" s="1">
        <v>7.85</v>
      </c>
      <c r="D76" s="1">
        <f t="shared" si="2"/>
        <v>1554.3</v>
      </c>
    </row>
    <row r="77" spans="1:4" x14ac:dyDescent="0.25">
      <c r="A77" s="1" t="s">
        <v>113</v>
      </c>
      <c r="B77" s="1">
        <f>SUMIFS('Invoice Data'!G:G,'Invoice Data'!B:B,$A77)</f>
        <v>214</v>
      </c>
      <c r="C77" s="1">
        <v>7.85</v>
      </c>
      <c r="D77" s="1">
        <f t="shared" si="2"/>
        <v>1679.8999999999999</v>
      </c>
    </row>
    <row r="78" spans="1:4" x14ac:dyDescent="0.25">
      <c r="A78" s="1" t="s">
        <v>184</v>
      </c>
      <c r="B78" s="1">
        <f>SUMIFS('Invoice Data'!G:G,'Invoice Data'!B:B,$A78)</f>
        <v>98</v>
      </c>
      <c r="C78" s="1">
        <v>6.8</v>
      </c>
      <c r="D78" s="1">
        <f t="shared" si="2"/>
        <v>666.4</v>
      </c>
    </row>
    <row r="79" spans="1:4" x14ac:dyDescent="0.25">
      <c r="A79" s="1" t="s">
        <v>115</v>
      </c>
      <c r="B79" s="1">
        <f>SUMIFS('Invoice Data'!G:G,'Invoice Data'!B:B,$A79)</f>
        <v>205</v>
      </c>
      <c r="C79" s="1">
        <v>7.85</v>
      </c>
      <c r="D79" s="1">
        <f t="shared" si="2"/>
        <v>1609.25</v>
      </c>
    </row>
    <row r="80" spans="1:4" x14ac:dyDescent="0.25">
      <c r="A80" s="1" t="s">
        <v>185</v>
      </c>
      <c r="B80" s="1">
        <f>SUMIFS('Invoice Data'!G:G,'Invoice Data'!B:B,$A80)</f>
        <v>2</v>
      </c>
      <c r="C80" s="1">
        <v>12.8</v>
      </c>
      <c r="D80" s="1">
        <f t="shared" si="2"/>
        <v>25.6</v>
      </c>
    </row>
    <row r="81" spans="1:4" x14ac:dyDescent="0.25">
      <c r="A81" s="1" t="s">
        <v>186</v>
      </c>
      <c r="B81" s="1">
        <f>SUMIFS('Invoice Data'!G:G,'Invoice Data'!B:B,$A81)</f>
        <v>102</v>
      </c>
      <c r="C81" s="1">
        <v>6.8</v>
      </c>
      <c r="D81" s="1">
        <f t="shared" ref="D81:D82" si="3">$B81*$C81</f>
        <v>693.6</v>
      </c>
    </row>
    <row r="82" spans="1:4" x14ac:dyDescent="0.25">
      <c r="A82" s="1" t="s">
        <v>117</v>
      </c>
      <c r="B82" s="1">
        <f>SUMIFS('Invoice Data'!G:G,'Invoice Data'!B:B,$A82)</f>
        <v>205</v>
      </c>
      <c r="C82" s="1">
        <v>7.85</v>
      </c>
      <c r="D82" s="1">
        <f t="shared" si="3"/>
        <v>1609.25</v>
      </c>
    </row>
    <row r="83" spans="1:4" x14ac:dyDescent="0.25">
      <c r="A83" s="1" t="s">
        <v>119</v>
      </c>
      <c r="B83" s="1">
        <f>SUMIFS('Invoice Data'!G:G,'Invoice Data'!B:B,$A83)</f>
        <v>473</v>
      </c>
      <c r="C83" s="1">
        <v>7.85</v>
      </c>
      <c r="D83" s="1">
        <f t="shared" ref="D83:D90" si="4">$B83*$C83</f>
        <v>3713.0499999999997</v>
      </c>
    </row>
    <row r="84" spans="1:4" x14ac:dyDescent="0.25">
      <c r="A84" s="1" t="s">
        <v>121</v>
      </c>
      <c r="B84" s="1">
        <f>SUMIFS('Invoice Data'!G:G,'Invoice Data'!B:B,$A84)</f>
        <v>360</v>
      </c>
      <c r="C84" s="1">
        <v>7.85</v>
      </c>
      <c r="D84" s="1">
        <f t="shared" si="4"/>
        <v>2826</v>
      </c>
    </row>
    <row r="85" spans="1:4" x14ac:dyDescent="0.25">
      <c r="A85" s="1" t="s">
        <v>123</v>
      </c>
      <c r="B85" s="1">
        <f>SUMIFS('Invoice Data'!G:G,'Invoice Data'!B:B,$A85)</f>
        <v>307</v>
      </c>
      <c r="C85" s="1">
        <v>7.85</v>
      </c>
      <c r="D85" s="1">
        <f t="shared" si="4"/>
        <v>2409.9499999999998</v>
      </c>
    </row>
    <row r="86" spans="1:4" x14ac:dyDescent="0.25">
      <c r="A86" s="1" t="s">
        <v>125</v>
      </c>
      <c r="B86" s="1">
        <f>SUMIFS('Invoice Data'!G:G,'Invoice Data'!B:B,$A86)</f>
        <v>2</v>
      </c>
      <c r="C86" s="1">
        <v>7.85</v>
      </c>
      <c r="D86" s="1">
        <f t="shared" si="4"/>
        <v>15.7</v>
      </c>
    </row>
    <row r="87" spans="1:4" x14ac:dyDescent="0.25">
      <c r="A87" s="1" t="s">
        <v>187</v>
      </c>
      <c r="B87" s="1">
        <f>SUMIFS('Invoice Data'!G:G,'Invoice Data'!B:B,$A87)</f>
        <v>1</v>
      </c>
      <c r="C87" s="1">
        <v>4.8499999999999996</v>
      </c>
      <c r="D87" s="1">
        <f t="shared" si="4"/>
        <v>4.8499999999999996</v>
      </c>
    </row>
    <row r="88" spans="1:4" x14ac:dyDescent="0.25">
      <c r="A88" s="1" t="s">
        <v>127</v>
      </c>
      <c r="B88" s="1">
        <f>SUMIFS('Invoice Data'!G:G,'Invoice Data'!B:B,$A88)</f>
        <v>27</v>
      </c>
      <c r="C88" s="1">
        <v>7.85</v>
      </c>
      <c r="D88" s="1">
        <f t="shared" si="4"/>
        <v>211.95</v>
      </c>
    </row>
    <row r="89" spans="1:4" x14ac:dyDescent="0.25">
      <c r="A89" s="1" t="s">
        <v>129</v>
      </c>
      <c r="B89" s="1">
        <f>SUMIFS('Invoice Data'!G:G,'Invoice Data'!B:B,$A89)</f>
        <v>74</v>
      </c>
      <c r="C89" s="1">
        <v>7.85</v>
      </c>
      <c r="D89" s="1">
        <f t="shared" si="4"/>
        <v>580.9</v>
      </c>
    </row>
    <row r="90" spans="1:4" x14ac:dyDescent="0.25">
      <c r="A90" s="1" t="s">
        <v>131</v>
      </c>
      <c r="B90" s="1">
        <f>SUMIFS('Invoice Data'!G:G,'Invoice Data'!B:B,$A90)</f>
        <v>388</v>
      </c>
      <c r="C90" s="1">
        <v>7.85</v>
      </c>
      <c r="D90" s="1">
        <f t="shared" si="4"/>
        <v>3045.7999999999997</v>
      </c>
    </row>
    <row r="91" spans="1:4" x14ac:dyDescent="0.25">
      <c r="A91" t="s">
        <v>133</v>
      </c>
      <c r="B91" s="1">
        <f>SUMIFS('Invoice Data'!G:G,'Invoice Data'!B:B,$A91)</f>
        <v>506</v>
      </c>
      <c r="C91" s="1">
        <v>7.85</v>
      </c>
      <c r="D91" s="1">
        <f>$B91*$C91</f>
        <v>3972.1</v>
      </c>
    </row>
    <row r="92" spans="1:4" x14ac:dyDescent="0.25">
      <c r="B92" s="1">
        <f>SUBTOTAL(109,Table5[QTY])</f>
        <v>14260</v>
      </c>
      <c r="C92" s="1">
        <f>SUBTOTAL(109,Table5[UNIT PRICE])</f>
        <v>735.35000000000105</v>
      </c>
      <c r="D92" s="3">
        <f>SUBTOTAL(109,Table5[AMOUNT])</f>
        <v>109790.25</v>
      </c>
    </row>
  </sheetData>
  <phoneticPr fontId="4" type="noConversion"/>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equal" id="{85D76A20-1A08-4582-BC40-3F7C09E5D0A2}">
            <xm:f>'Invoice Data'!$F$154</xm:f>
            <x14:dxf>
              <font>
                <color rgb="FF006100"/>
              </font>
              <fill>
                <patternFill>
                  <bgColor rgb="FFC6EFCE"/>
                </patternFill>
              </fill>
            </x14:dxf>
          </x14:cfRule>
          <xm:sqref>D92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93ACE-11BE-4BD3-B3B9-2A248225FF90}">
  <dimension ref="A1:P183"/>
  <sheetViews>
    <sheetView topLeftCell="A148" workbookViewId="0">
      <selection activeCell="B162" sqref="B162"/>
    </sheetView>
  </sheetViews>
  <sheetFormatPr defaultRowHeight="15" x14ac:dyDescent="0.25"/>
  <cols>
    <col min="1" max="1" width="8.85546875" bestFit="1" customWidth="1"/>
    <col min="2" max="2" width="64.140625" customWidth="1"/>
    <col min="3" max="3" width="7.42578125" bestFit="1" customWidth="1"/>
    <col min="4" max="4" width="6.5703125" bestFit="1" customWidth="1"/>
    <col min="5" max="5" width="13.140625" bestFit="1" customWidth="1"/>
    <col min="6" max="6" width="12.140625" bestFit="1" customWidth="1"/>
    <col min="7" max="7" width="33.140625" bestFit="1" customWidth="1"/>
    <col min="8" max="8" width="21.140625" customWidth="1"/>
    <col min="9" max="9" width="3" customWidth="1"/>
    <col min="10" max="11" width="26" customWidth="1"/>
    <col min="12" max="12" width="3.85546875" customWidth="1"/>
    <col min="13" max="13" width="21.5703125" bestFit="1" customWidth="1"/>
    <col min="14" max="14" width="13.5703125" bestFit="1" customWidth="1"/>
    <col min="16" max="16" width="11.42578125" customWidth="1"/>
    <col min="17" max="17" width="3.5703125" customWidth="1"/>
    <col min="18" max="18" width="26.140625" customWidth="1"/>
  </cols>
  <sheetData>
    <row r="1" spans="1:16" ht="15.75" thickBot="1" x14ac:dyDescent="0.3">
      <c r="A1" t="s">
        <v>188</v>
      </c>
      <c r="B1" t="s">
        <v>189</v>
      </c>
      <c r="C1" t="s">
        <v>190</v>
      </c>
      <c r="D1" t="s">
        <v>1</v>
      </c>
      <c r="E1" t="s">
        <v>161</v>
      </c>
      <c r="F1" t="s">
        <v>2</v>
      </c>
      <c r="G1" t="s">
        <v>191</v>
      </c>
      <c r="H1" s="5" t="s">
        <v>192</v>
      </c>
      <c r="M1" s="7" t="s">
        <v>193</v>
      </c>
      <c r="N1" s="7" t="s">
        <v>194</v>
      </c>
      <c r="O1" s="7" t="s">
        <v>195</v>
      </c>
      <c r="P1" s="7" t="s">
        <v>196</v>
      </c>
    </row>
    <row r="2" spans="1:16" x14ac:dyDescent="0.25">
      <c r="A2">
        <v>1020</v>
      </c>
      <c r="B2" t="s">
        <v>7</v>
      </c>
      <c r="C2" t="s">
        <v>197</v>
      </c>
      <c r="D2">
        <v>573</v>
      </c>
      <c r="E2">
        <v>7.85</v>
      </c>
      <c r="F2">
        <v>4498.05</v>
      </c>
      <c r="G2" cm="1">
        <f t="array" ref="G2">SUMPRODUCT(IF($E2=$O$2,$D2*$P$2,IF($E2=$O$3,$D2*$P$3,IF($E2=$O$4,$D2*$P$4,IF($E2=$O$5,$D2*$P$5,IF($E2=$O$6,$D2*$P$6, IF($E2=$O$7,$D2*$P$7,IF($E2=$O$8,$D2*$P$8,IF($E2=$O$9,$D2*$P$9,IF($E2=$O$10,$D2*$P$10,IF($E2=$O$11,$D2*$P$11,IF($E2=$O$12,$D2*$P$12,IF($E2=$O$13,$D2*$P$13,IF($E2=$O$14,$D2*$P$14,IF($E2=$O$15,$D2*$P$15,IF($E2=$O$16,$D2*$P$16,IF($E2=$O$17,$D2*$P$17,IF($E2=$O$18,$D2*$P$18,IF($E2=$O$19,$D2*$P$19,IF($E2=$O$20,$D2*$P$20,IF($E2=$O$21,$D2*$P$21,IF($E2=$O$22,$D2*$P$22,IF($E2=$O$23,$D2*$P$23,IF($E2=$O$24,$D2*$P$24,IF($E2=$O$25,$D2*$P$25,IF($E2=$O$26,$D2*$P$26,IF($E2=$O$27,$D2*$P$27,IF($E2=$O$28,$D2*$P$28,IF($E2=$O$29,$D2*$P$29,IF($E2=$O$30,$D2*$P$30,IF($E2=$O$31,$D2*$P$31,IF($E2=$O$32,$D2*$P$32,IF($E2=$O$33,$D2*$P$33,IF($E2=$O$34,$D2*$P$34,IF($E2=$O$35,$D2*$P$35,n/a)))))))))))))))))))))))))))))))))))</f>
        <v>573</v>
      </c>
      <c r="H2" s="6">
        <f t="shared" ref="H2:H30" si="0">IF($E2&lt;0,$G2*10,0)</f>
        <v>0</v>
      </c>
      <c r="M2" s="8" t="s">
        <v>198</v>
      </c>
      <c r="N2" s="9" t="s">
        <v>199</v>
      </c>
      <c r="O2" s="9">
        <v>7.85</v>
      </c>
      <c r="P2" s="10">
        <v>1</v>
      </c>
    </row>
    <row r="3" spans="1:16" x14ac:dyDescent="0.25">
      <c r="A3">
        <v>1020</v>
      </c>
      <c r="B3" t="s">
        <v>7</v>
      </c>
      <c r="C3" t="s">
        <v>197</v>
      </c>
      <c r="D3">
        <v>4</v>
      </c>
      <c r="E3">
        <v>15.7</v>
      </c>
      <c r="F3">
        <v>62.8</v>
      </c>
      <c r="G3" cm="1">
        <f t="array" ref="G3">SUMPRODUCT(IF($E3=$O$2,$D3*$P$2,IF($E3=$O$3,$D3*$P$3,IF($E3=$O$4,$D3*$P$4,IF($E3=$O$5,$D3*$P$5,IF($E3=$O$6,$D3*$P$6, IF($E3=$O$7,$D3*$P$7,IF($E3=$O$8,$D3*$P$8,IF($E3=$O$9,$D3*$P$9,IF($E3=$O$10,$D3*$P$10,IF($E3=$O$11,$D3*$P$11,IF($E3=$O$12,$D3*$P$12,IF($E3=$O$13,$D3*$P$13,IF($E3=$O$14,$D3*$P$14,IF($E3=$O$15,$D3*$P$15,IF($E3=$O$16,$D3*$P$16,IF($E3=$O$17,$D3*$P$17,IF($E3=$O$18,$D3*$P$18,IF($E3=$O$19,$D3*$P$19,IF($E3=$O$20,$D3*$P$20,IF($E3=$O$21,$D3*$P$21,IF($E3=$O$22,$D3*$P$22,IF($E3=$O$23,$D3*$P$23,IF($E3=$O$24,$D3*$P$24,IF($E3=$O$25,$D3*$P$25,IF($E3=$O$26,$D3*$P$26,IF($E3=$O$27,$D3*$P$27,IF($E3=$O$28,$D3*$P$28,IF($E3=$O$29,$D3*$P$29,IF($E3=$O$30,$D3*$P$30,IF($E3=$O$31,$D3*$P$31,IF($E3=$O$32,$D3*$P$32,IF($E3=$O$33,$D3*$P$33,IF($E3=$O$34,$D3*$P$34,IF($E3=$O$35,$D3*$P$35,n/a)))))))))))))))))))))))))))))))))))</f>
        <v>8</v>
      </c>
      <c r="H3" s="6">
        <f t="shared" si="0"/>
        <v>0</v>
      </c>
      <c r="M3" s="11"/>
      <c r="N3" t="s">
        <v>200</v>
      </c>
      <c r="O3">
        <v>15.7</v>
      </c>
      <c r="P3" s="12">
        <v>2</v>
      </c>
    </row>
    <row r="4" spans="1:16" x14ac:dyDescent="0.25">
      <c r="A4">
        <v>1020</v>
      </c>
      <c r="B4" t="s">
        <v>7</v>
      </c>
      <c r="C4" t="s">
        <v>197</v>
      </c>
      <c r="D4">
        <v>1</v>
      </c>
      <c r="E4">
        <v>31.4</v>
      </c>
      <c r="F4">
        <v>31.4</v>
      </c>
      <c r="G4" cm="1">
        <f t="array" ref="G4">SUMPRODUCT(IF($E4=$O$2,$D4*$P$2,IF($E4=$O$3,$D4*$P$3,IF($E4=$O$4,$D4*$P$4,IF($E4=$O$5,$D4*$P$5,IF($E4=$O$6,$D4*$P$6, IF($E4=$O$7,$D4*$P$7,IF($E4=$O$8,$D4*$P$8,IF($E4=$O$9,$D4*$P$9,IF($E4=$O$10,$D4*$P$10,IF($E4=$O$11,$D4*$P$11,IF($E4=$O$12,$D4*$P$12,IF($E4=$O$13,$D4*$P$13,IF($E4=$O$14,$D4*$P$14,IF($E4=$O$15,$D4*$P$15,IF($E4=$O$16,$D4*$P$16,IF($E4=$O$17,$D4*$P$17,IF($E4=$O$18,$D4*$P$18,IF($E4=$O$19,$D4*$P$19,IF($E4=$O$20,$D4*$P$20,IF($E4=$O$21,$D4*$P$21,IF($E4=$O$22,$D4*$P$22,IF($E4=$O$23,$D4*$P$23,IF($E4=$O$24,$D4*$P$24,IF($E4=$O$25,$D4*$P$25,IF($E4=$O$26,$D4*$P$26,IF($E4=$O$27,$D4*$P$27,IF($E4=$O$28,$D4*$P$28,IF($E4=$O$29,$D4*$P$29,IF($E4=$O$30,$D4*$P$30,IF($E4=$O$31,$D4*$P$31,IF($E4=$O$32,$D4*$P$32,IF($E4=$O$33,$D4*$P$33,IF($E4=$O$34,$D4*$P$34,IF($E4=$O$35,$D4*$P$35,n/a)))))))))))))))))))))))))))))))))))</f>
        <v>4</v>
      </c>
      <c r="H4" s="6">
        <f t="shared" si="0"/>
        <v>0</v>
      </c>
      <c r="M4" s="11"/>
      <c r="N4" t="s">
        <v>201</v>
      </c>
      <c r="O4">
        <v>23.55</v>
      </c>
      <c r="P4" s="12">
        <v>3</v>
      </c>
    </row>
    <row r="5" spans="1:16" x14ac:dyDescent="0.25">
      <c r="A5">
        <v>1020</v>
      </c>
      <c r="B5" t="s">
        <v>7</v>
      </c>
      <c r="C5" t="s">
        <v>197</v>
      </c>
      <c r="D5">
        <v>4</v>
      </c>
      <c r="E5">
        <v>-7.85</v>
      </c>
      <c r="F5">
        <v>-31.4</v>
      </c>
      <c r="G5" cm="1">
        <f t="array" ref="G5">SUMPRODUCT(IF($E5=$O$2,$D5*$P$2,IF($E5=$O$3,$D5*$P$3,IF($E5=$O$4,$D5*$P$4,IF($E5=$O$5,$D5*$P$5,IF($E5=$O$6,$D5*$P$6, IF($E5=$O$7,$D5*$P$7,IF($E5=$O$8,$D5*$P$8,IF($E5=$O$9,$D5*$P$9,IF($E5=$O$10,$D5*$P$10,IF($E5=$O$11,$D5*$P$11,IF($E5=$O$12,$D5*$P$12,IF($E5=$O$13,$D5*$P$13,IF($E5=$O$14,$D5*$P$14,IF($E5=$O$15,$D5*$P$15,IF($E5=$O$16,$D5*$P$16,IF($E5=$O$17,$D5*$P$17,IF($E5=$O$18,$D5*$P$18,IF($E5=$O$19,$D5*$P$19,IF($E5=$O$20,$D5*$P$20,IF($E5=$O$21,$D5*$P$21,IF($E5=$O$22,$D5*$P$22,IF($E5=$O$23,$D5*$P$23,IF($E5=$O$24,$D5*$P$24,IF($E5=$O$25,$D5*$P$25,IF($E5=$O$26,$D5*$P$26,IF($E5=$O$27,$D5*$P$27,IF($E5=$O$28,$D5*$P$28,IF($E5=$O$29,$D5*$P$29,IF($E5=$O$30,$D5*$P$30,IF($E5=$O$31,$D5*$P$31,IF($E5=$O$32,$D5*$P$32,IF($E5=$O$33,$D5*$P$33,IF($E5=$O$34,$D5*$P$34,IF($E5=$O$35,$D5*$P$35,n/a)))))))))))))))))))))))))))))))))))</f>
        <v>-4</v>
      </c>
      <c r="H5" s="6">
        <f t="shared" si="0"/>
        <v>-40</v>
      </c>
      <c r="M5" s="11"/>
      <c r="N5" t="s">
        <v>202</v>
      </c>
      <c r="O5">
        <v>31.4</v>
      </c>
      <c r="P5" s="12">
        <v>4</v>
      </c>
    </row>
    <row r="6" spans="1:16" x14ac:dyDescent="0.25">
      <c r="A6">
        <v>1020</v>
      </c>
      <c r="B6" t="s">
        <v>7</v>
      </c>
      <c r="C6" t="s">
        <v>197</v>
      </c>
      <c r="D6">
        <v>1</v>
      </c>
      <c r="E6">
        <v>-15.7</v>
      </c>
      <c r="F6">
        <v>-15.7</v>
      </c>
      <c r="G6" cm="1">
        <f t="array" ref="G6">SUMPRODUCT(IF($E6=$O$2,$D6*$P$2,IF($E6=$O$3,$D6*$P$3,IF($E6=$O$4,$D6*$P$4,IF($E6=$O$5,$D6*$P$5,IF($E6=$O$6,$D6*$P$6, IF($E6=$O$7,$D6*$P$7,IF($E6=$O$8,$D6*$P$8,IF($E6=$O$9,$D6*$P$9,IF($E6=$O$10,$D6*$P$10,IF($E6=$O$11,$D6*$P$11,IF($E6=$O$12,$D6*$P$12,IF($E6=$O$13,$D6*$P$13,IF($E6=$O$14,$D6*$P$14,IF($E6=$O$15,$D6*$P$15,IF($E6=$O$16,$D6*$P$16,IF($E6=$O$17,$D6*$P$17,IF($E6=$O$18,$D6*$P$18,IF($E6=$O$19,$D6*$P$19,IF($E6=$O$20,$D6*$P$20,IF($E6=$O$21,$D6*$P$21,IF($E6=$O$22,$D6*$P$22,IF($E6=$O$23,$D6*$P$23,IF($E6=$O$24,$D6*$P$24,IF($E6=$O$25,$D6*$P$25,IF($E6=$O$26,$D6*$P$26,IF($E6=$O$27,$D6*$P$27,IF($E6=$O$28,$D6*$P$28,IF($E6=$O$29,$D6*$P$29,IF($E6=$O$30,$D6*$P$30,IF($E6=$O$31,$D6*$P$31,IF($E6=$O$32,$D6*$P$32,IF($E6=$O$33,$D6*$P$33,IF($E6=$O$34,$D6*$P$34,IF($E6=$O$35,$D6*$P$35,n/a)))))))))))))))))))))))))))))))))))</f>
        <v>-2</v>
      </c>
      <c r="H6" s="6">
        <f t="shared" si="0"/>
        <v>-20</v>
      </c>
      <c r="J6" s="27"/>
      <c r="K6" s="27"/>
      <c r="M6" s="11"/>
      <c r="N6" t="s">
        <v>203</v>
      </c>
      <c r="O6">
        <v>-7.85</v>
      </c>
      <c r="P6" s="12">
        <v>-1</v>
      </c>
    </row>
    <row r="7" spans="1:16" x14ac:dyDescent="0.25">
      <c r="A7">
        <v>1020</v>
      </c>
      <c r="B7" t="s">
        <v>162</v>
      </c>
      <c r="C7" t="s">
        <v>197</v>
      </c>
      <c r="D7">
        <v>36</v>
      </c>
      <c r="E7">
        <v>6.8</v>
      </c>
      <c r="F7">
        <v>244.8</v>
      </c>
      <c r="G7" cm="1">
        <f t="array" ref="G7">SUMPRODUCT(IF($E7=$O$2,$D7*$P$2,IF($E7=$O$3,$D7*$P$3,IF($E7=$O$4,$D7*$P$4,IF($E7=$O$5,$D7*$P$5,IF($E7=$O$6,$D7*$P$6, IF($E7=$O$7,$D7*$P$7,IF($E7=$O$8,$D7*$P$8,IF($E7=$O$9,$D7*$P$9,IF($E7=$O$10,$D7*$P$10,IF($E7=$O$11,$D7*$P$11,IF($E7=$O$12,$D7*$P$12,IF($E7=$O$13,$D7*$P$13,IF($E7=$O$14,$D7*$P$14,IF($E7=$O$15,$D7*$P$15,IF($E7=$O$16,$D7*$P$16,IF($E7=$O$17,$D7*$P$17,IF($E7=$O$18,$D7*$P$18,IF($E7=$O$19,$D7*$P$19,IF($E7=$O$20,$D7*$P$20,IF($E7=$O$21,$D7*$P$21,IF($E7=$O$22,$D7*$P$22,IF($E7=$O$23,$D7*$P$23,IF($E7=$O$24,$D7*$P$24,IF($E7=$O$25,$D7*$P$25,IF($E7=$O$26,$D7*$P$26,IF($E7=$O$27,$D7*$P$27,IF($E7=$O$28,$D7*$P$28,IF($E7=$O$29,$D7*$P$29,IF($E7=$O$30,$D7*$P$30,IF($E7=$O$31,$D7*$P$31,IF($E7=$O$32,$D7*$P$32,IF($E7=$O$33,$D7*$P$33,IF($E7=$O$34,$D7*$P$34,IF($E7=$O$35,$D7*$P$35,n/a)))))))))))))))))))))))))))))))))))</f>
        <v>36</v>
      </c>
      <c r="H7" s="6">
        <f t="shared" si="0"/>
        <v>0</v>
      </c>
      <c r="J7" s="27"/>
      <c r="K7" s="27"/>
      <c r="M7" s="11"/>
      <c r="N7" t="s">
        <v>203</v>
      </c>
      <c r="O7">
        <v>-15.7</v>
      </c>
      <c r="P7" s="12">
        <v>-2</v>
      </c>
    </row>
    <row r="8" spans="1:16" x14ac:dyDescent="0.25">
      <c r="A8">
        <v>1020</v>
      </c>
      <c r="B8" t="s">
        <v>163</v>
      </c>
      <c r="C8" t="s">
        <v>197</v>
      </c>
      <c r="D8">
        <v>6</v>
      </c>
      <c r="E8">
        <v>7.8</v>
      </c>
      <c r="F8">
        <v>46.8</v>
      </c>
      <c r="G8" cm="1">
        <f t="array" ref="G8">SUMPRODUCT(IF($E8=$O$2,$D8*$P$2,IF($E8=$O$3,$D8*$P$3,IF($E8=$O$4,$D8*$P$4,IF($E8=$O$5,$D8*$P$5,IF($E8=$O$6,$D8*$P$6, IF($E8=$O$7,$D8*$P$7,IF($E8=$O$8,$D8*$P$8,IF($E8=$O$9,$D8*$P$9,IF($E8=$O$10,$D8*$P$10,IF($E8=$O$11,$D8*$P$11,IF($E8=$O$12,$D8*$P$12,IF($E8=$O$13,$D8*$P$13,IF($E8=$O$14,$D8*$P$14,IF($E8=$O$15,$D8*$P$15,IF($E8=$O$16,$D8*$P$16,IF($E8=$O$17,$D8*$P$17,IF($E8=$O$18,$D8*$P$18,IF($E8=$O$19,$D8*$P$19,IF($E8=$O$20,$D8*$P$20,IF($E8=$O$21,$D8*$P$21,IF($E8=$O$22,$D8*$P$22,IF($E8=$O$23,$D8*$P$23,IF($E8=$O$24,$D8*$P$24,IF($E8=$O$25,$D8*$P$25,IF($E8=$O$26,$D8*$P$26,IF($E8=$O$27,$D8*$P$27,IF($E8=$O$28,$D8*$P$28,IF($E8=$O$29,$D8*$P$29,IF($E8=$O$30,$D8*$P$30,IF($E8=$O$31,$D8*$P$31,IF($E8=$O$32,$D8*$P$32,IF($E8=$O$33,$D8*$P$33,IF($E8=$O$34,$D8*$P$34,IF($E8=$O$35,$D8*$P$35,n/a)))))))))))))))))))))))))))))))))))</f>
        <v>6</v>
      </c>
      <c r="H8" s="6">
        <f t="shared" si="0"/>
        <v>0</v>
      </c>
      <c r="M8" s="11"/>
      <c r="N8" t="s">
        <v>203</v>
      </c>
      <c r="O8">
        <v>-23.55</v>
      </c>
      <c r="P8" s="12">
        <v>-3</v>
      </c>
    </row>
    <row r="9" spans="1:16" x14ac:dyDescent="0.25">
      <c r="A9">
        <v>1020</v>
      </c>
      <c r="B9" t="s">
        <v>9</v>
      </c>
      <c r="C9" t="s">
        <v>197</v>
      </c>
      <c r="D9">
        <v>1</v>
      </c>
      <c r="E9">
        <v>7.85</v>
      </c>
      <c r="F9">
        <v>7.85</v>
      </c>
      <c r="G9" cm="1">
        <f t="array" ref="G9">SUMPRODUCT(IF($E9=$O$2,$D9*$P$2,IF($E9=$O$3,$D9*$P$3,IF($E9=$O$4,$D9*$P$4,IF($E9=$O$5,$D9*$P$5,IF($E9=$O$6,$D9*$P$6, IF($E9=$O$7,$D9*$P$7,IF($E9=$O$8,$D9*$P$8,IF($E9=$O$9,$D9*$P$9,IF($E9=$O$10,$D9*$P$10,IF($E9=$O$11,$D9*$P$11,IF($E9=$O$12,$D9*$P$12,IF($E9=$O$13,$D9*$P$13,IF($E9=$O$14,$D9*$P$14,IF($E9=$O$15,$D9*$P$15,IF($E9=$O$16,$D9*$P$16,IF($E9=$O$17,$D9*$P$17,IF($E9=$O$18,$D9*$P$18,IF($E9=$O$19,$D9*$P$19,IF($E9=$O$20,$D9*$P$20,IF($E9=$O$21,$D9*$P$21,IF($E9=$O$22,$D9*$P$22,IF($E9=$O$23,$D9*$P$23,IF($E9=$O$24,$D9*$P$24,IF($E9=$O$25,$D9*$P$25,IF($E9=$O$26,$D9*$P$26,IF($E9=$O$27,$D9*$P$27,IF($E9=$O$28,$D9*$P$28,IF($E9=$O$29,$D9*$P$29,IF($E9=$O$30,$D9*$P$30,IF($E9=$O$31,$D9*$P$31,IF($E9=$O$32,$D9*$P$32,IF($E9=$O$33,$D9*$P$33,IF($E9=$O$34,$D9*$P$34,IF($E9=$O$35,$D9*$P$35,n/a)))))))))))))))))))))))))))))))))))</f>
        <v>1</v>
      </c>
      <c r="H9" s="6">
        <f t="shared" si="0"/>
        <v>0</v>
      </c>
      <c r="M9" s="11"/>
      <c r="N9" t="s">
        <v>203</v>
      </c>
      <c r="O9">
        <v>-31.4</v>
      </c>
      <c r="P9" s="12">
        <v>-4</v>
      </c>
    </row>
    <row r="10" spans="1:16" x14ac:dyDescent="0.25">
      <c r="A10">
        <v>1020</v>
      </c>
      <c r="B10" t="s">
        <v>164</v>
      </c>
      <c r="C10" t="s">
        <v>197</v>
      </c>
      <c r="D10">
        <v>11</v>
      </c>
      <c r="E10">
        <v>12.8</v>
      </c>
      <c r="F10">
        <v>140.80000000000001</v>
      </c>
      <c r="G10" cm="1">
        <f t="array" ref="G10">SUMPRODUCT(IF($E10=$O$2,$D10*$P$2,IF($E10=$O$3,$D10*$P$3,IF($E10=$O$4,$D10*$P$4,IF($E10=$O$5,$D10*$P$5,IF($E10=$O$6,$D10*$P$6, IF($E10=$O$7,$D10*$P$7,IF($E10=$O$8,$D10*$P$8,IF($E10=$O$9,$D10*$P$9,IF($E10=$O$10,$D10*$P$10,IF($E10=$O$11,$D10*$P$11,IF($E10=$O$12,$D10*$P$12,IF($E10=$O$13,$D10*$P$13,IF($E10=$O$14,$D10*$P$14,IF($E10=$O$15,$D10*$P$15,IF($E10=$O$16,$D10*$P$16,IF($E10=$O$17,$D10*$P$17,IF($E10=$O$18,$D10*$P$18,IF($E10=$O$19,$D10*$P$19,IF($E10=$O$20,$D10*$P$20,IF($E10=$O$21,$D10*$P$21,IF($E10=$O$22,$D10*$P$22,IF($E10=$O$23,$D10*$P$23,IF($E10=$O$24,$D10*$P$24,IF($E10=$O$25,$D10*$P$25,IF($E10=$O$26,$D10*$P$26,IF($E10=$O$27,$D10*$P$27,IF($E10=$O$28,$D10*$P$28,IF($E10=$O$29,$D10*$P$29,IF($E10=$O$30,$D10*$P$30,IF($E10=$O$31,$D10*$P$31,IF($E10=$O$32,$D10*$P$32,IF($E10=$O$33,$D10*$P$33,IF($E10=$O$34,$D10*$P$34,IF($E10=$O$35,$D10*$P$35,n/a)))))))))))))))))))))))))))))))))))</f>
        <v>11</v>
      </c>
      <c r="H10" s="6">
        <f t="shared" si="0"/>
        <v>0</v>
      </c>
      <c r="M10" s="11" t="s">
        <v>204</v>
      </c>
      <c r="N10" t="s">
        <v>199</v>
      </c>
      <c r="O10">
        <v>4.8499999999999996</v>
      </c>
      <c r="P10" s="12">
        <v>1</v>
      </c>
    </row>
    <row r="11" spans="1:16" x14ac:dyDescent="0.25">
      <c r="A11">
        <v>1020</v>
      </c>
      <c r="B11" t="s">
        <v>163</v>
      </c>
      <c r="C11" t="s">
        <v>197</v>
      </c>
      <c r="D11">
        <v>1</v>
      </c>
      <c r="E11">
        <v>-7.8</v>
      </c>
      <c r="F11">
        <v>-7.8</v>
      </c>
      <c r="G11" cm="1">
        <f t="array" ref="G11">SUMPRODUCT(IF($E11=$O$2,$D11*$P$2,IF($E11=$O$3,$D11*$P$3,IF($E11=$O$4,$D11*$P$4,IF($E11=$O$5,$D11*$P$5,IF($E11=$O$6,$D11*$P$6, IF($E11=$O$7,$D11*$P$7,IF($E11=$O$8,$D11*$P$8,IF($E11=$O$9,$D11*$P$9,IF($E11=$O$10,$D11*$P$10,IF($E11=$O$11,$D11*$P$11,IF($E11=$O$12,$D11*$P$12,IF($E11=$O$13,$D11*$P$13,IF($E11=$O$14,$D11*$P$14,IF($E11=$O$15,$D11*$P$15,IF($E11=$O$16,$D11*$P$16,IF($E11=$O$17,$D11*$P$17,IF($E11=$O$18,$D11*$P$18,IF($E11=$O$19,$D11*$P$19,IF($E11=$O$20,$D11*$P$20,IF($E11=$O$21,$D11*$P$21,IF($E11=$O$22,$D11*$P$22,IF($E11=$O$23,$D11*$P$23,IF($E11=$O$24,$D11*$P$24,IF($E11=$O$25,$D11*$P$25,IF($E11=$O$26,$D11*$P$26,IF($E11=$O$27,$D11*$P$27,IF($E11=$O$28,$D11*$P$28,IF($E11=$O$29,$D11*$P$29,IF($E11=$O$30,$D11*$P$30,IF($E11=$O$31,$D11*$P$31,IF($E11=$O$32,$D11*$P$32,IF($E11=$O$33,$D11*$P$33,IF($E11=$O$34,$D11*$P$34,IF($E11=$O$35,$D11*$P$35,n/a)))))))))))))))))))))))))))))))))))</f>
        <v>-1</v>
      </c>
      <c r="H11" s="6">
        <f t="shared" si="0"/>
        <v>-10</v>
      </c>
      <c r="M11" s="11"/>
      <c r="N11" t="s">
        <v>203</v>
      </c>
      <c r="O11">
        <v>-4.8499999999999996</v>
      </c>
      <c r="P11" s="12">
        <v>-1</v>
      </c>
    </row>
    <row r="12" spans="1:16" x14ac:dyDescent="0.25">
      <c r="A12">
        <v>1020</v>
      </c>
      <c r="B12" t="s">
        <v>11</v>
      </c>
      <c r="C12" t="s">
        <v>197</v>
      </c>
      <c r="D12">
        <v>119</v>
      </c>
      <c r="E12">
        <v>7.85</v>
      </c>
      <c r="F12">
        <v>934.15</v>
      </c>
      <c r="G12" cm="1">
        <f t="array" ref="G12">SUMPRODUCT(IF($E12=$O$2,$D12*$P$2,IF($E12=$O$3,$D12*$P$3,IF($E12=$O$4,$D12*$P$4,IF($E12=$O$5,$D12*$P$5,IF($E12=$O$6,$D12*$P$6, IF($E12=$O$7,$D12*$P$7,IF($E12=$O$8,$D12*$P$8,IF($E12=$O$9,$D12*$P$9,IF($E12=$O$10,$D12*$P$10,IF($E12=$O$11,$D12*$P$11,IF($E12=$O$12,$D12*$P$12,IF($E12=$O$13,$D12*$P$13,IF($E12=$O$14,$D12*$P$14,IF($E12=$O$15,$D12*$P$15,IF($E12=$O$16,$D12*$P$16,IF($E12=$O$17,$D12*$P$17,IF($E12=$O$18,$D12*$P$18,IF($E12=$O$19,$D12*$P$19,IF($E12=$O$20,$D12*$P$20,IF($E12=$O$21,$D12*$P$21,IF($E12=$O$22,$D12*$P$22,IF($E12=$O$23,$D12*$P$23,IF($E12=$O$24,$D12*$P$24,IF($E12=$O$25,$D12*$P$25,IF($E12=$O$26,$D12*$P$26,IF($E12=$O$27,$D12*$P$27,IF($E12=$O$28,$D12*$P$28,IF($E12=$O$29,$D12*$P$29,IF($E12=$O$30,$D12*$P$30,IF($E12=$O$31,$D12*$P$31,IF($E12=$O$32,$D12*$P$32,IF($E12=$O$33,$D12*$P$33,IF($E12=$O$34,$D12*$P$34,IF($E12=$O$35,$D12*$P$35,n/a)))))))))))))))))))))))))))))))))))</f>
        <v>119</v>
      </c>
      <c r="H12" s="6">
        <f t="shared" si="0"/>
        <v>0</v>
      </c>
      <c r="M12" s="11"/>
      <c r="N12" t="s">
        <v>199</v>
      </c>
      <c r="O12">
        <v>5.85</v>
      </c>
      <c r="P12" s="12">
        <v>1</v>
      </c>
    </row>
    <row r="13" spans="1:16" x14ac:dyDescent="0.25">
      <c r="A13">
        <v>1020</v>
      </c>
      <c r="B13" t="s">
        <v>11</v>
      </c>
      <c r="C13" t="s">
        <v>197</v>
      </c>
      <c r="D13">
        <v>1</v>
      </c>
      <c r="E13">
        <v>-7.85</v>
      </c>
      <c r="F13">
        <v>-7.85</v>
      </c>
      <c r="G13" cm="1">
        <f t="array" ref="G13">SUMPRODUCT(IF($E13=$O$2,$D13*$P$2,IF($E13=$O$3,$D13*$P$3,IF($E13=$O$4,$D13*$P$4,IF($E13=$O$5,$D13*$P$5,IF($E13=$O$6,$D13*$P$6, IF($E13=$O$7,$D13*$P$7,IF($E13=$O$8,$D13*$P$8,IF($E13=$O$9,$D13*$P$9,IF($E13=$O$10,$D13*$P$10,IF($E13=$O$11,$D13*$P$11,IF($E13=$O$12,$D13*$P$12,IF($E13=$O$13,$D13*$P$13,IF($E13=$O$14,$D13*$P$14,IF($E13=$O$15,$D13*$P$15,IF($E13=$O$16,$D13*$P$16,IF($E13=$O$17,$D13*$P$17,IF($E13=$O$18,$D13*$P$18,IF($E13=$O$19,$D13*$P$19,IF($E13=$O$20,$D13*$P$20,IF($E13=$O$21,$D13*$P$21,IF($E13=$O$22,$D13*$P$22,IF($E13=$O$23,$D13*$P$23,IF($E13=$O$24,$D13*$P$24,IF($E13=$O$25,$D13*$P$25,IF($E13=$O$26,$D13*$P$26,IF($E13=$O$27,$D13*$P$27,IF($E13=$O$28,$D13*$P$28,IF($E13=$O$29,$D13*$P$29,IF($E13=$O$30,$D13*$P$30,IF($E13=$O$31,$D13*$P$31,IF($E13=$O$32,$D13*$P$32,IF($E13=$O$33,$D13*$P$33,IF($E13=$O$34,$D13*$P$34,IF($E13=$O$35,$D13*$P$35,n/a)))))))))))))))))))))))))))))))))))</f>
        <v>-1</v>
      </c>
      <c r="H13" s="6">
        <f t="shared" si="0"/>
        <v>-10</v>
      </c>
      <c r="M13" s="11"/>
      <c r="N13" t="s">
        <v>203</v>
      </c>
      <c r="O13">
        <v>-5.85</v>
      </c>
      <c r="P13" s="12">
        <v>-1</v>
      </c>
    </row>
    <row r="14" spans="1:16" x14ac:dyDescent="0.25">
      <c r="A14">
        <v>1020</v>
      </c>
      <c r="B14" t="s">
        <v>13</v>
      </c>
      <c r="C14" t="s">
        <v>197</v>
      </c>
      <c r="D14">
        <v>37</v>
      </c>
      <c r="E14">
        <v>7.85</v>
      </c>
      <c r="F14">
        <v>290.45</v>
      </c>
      <c r="G14" cm="1">
        <f t="array" ref="G14">SUMPRODUCT(IF($E14=$O$2,$D14*$P$2,IF($E14=$O$3,$D14*$P$3,IF($E14=$O$4,$D14*$P$4,IF($E14=$O$5,$D14*$P$5,IF($E14=$O$6,$D14*$P$6, IF($E14=$O$7,$D14*$P$7,IF($E14=$O$8,$D14*$P$8,IF($E14=$O$9,$D14*$P$9,IF($E14=$O$10,$D14*$P$10,IF($E14=$O$11,$D14*$P$11,IF($E14=$O$12,$D14*$P$12,IF($E14=$O$13,$D14*$P$13,IF($E14=$O$14,$D14*$P$14,IF($E14=$O$15,$D14*$P$15,IF($E14=$O$16,$D14*$P$16,IF($E14=$O$17,$D14*$P$17,IF($E14=$O$18,$D14*$P$18,IF($E14=$O$19,$D14*$P$19,IF($E14=$O$20,$D14*$P$20,IF($E14=$O$21,$D14*$P$21,IF($E14=$O$22,$D14*$P$22,IF($E14=$O$23,$D14*$P$23,IF($E14=$O$24,$D14*$P$24,IF($E14=$O$25,$D14*$P$25,IF($E14=$O$26,$D14*$P$26,IF($E14=$O$27,$D14*$P$27,IF($E14=$O$28,$D14*$P$28,IF($E14=$O$29,$D14*$P$29,IF($E14=$O$30,$D14*$P$30,IF($E14=$O$31,$D14*$P$31,IF($E14=$O$32,$D14*$P$32,IF($E14=$O$33,$D14*$P$33,IF($E14=$O$34,$D14*$P$34,IF($E14=$O$35,$D14*$P$35,n/a)))))))))))))))))))))))))))))))))))</f>
        <v>37</v>
      </c>
      <c r="H14" s="6">
        <f t="shared" si="0"/>
        <v>0</v>
      </c>
      <c r="M14" s="11"/>
      <c r="N14" t="s">
        <v>199</v>
      </c>
      <c r="O14">
        <v>5.95</v>
      </c>
      <c r="P14" s="12">
        <v>1</v>
      </c>
    </row>
    <row r="15" spans="1:16" x14ac:dyDescent="0.25">
      <c r="A15">
        <v>1020</v>
      </c>
      <c r="B15" t="s">
        <v>165</v>
      </c>
      <c r="C15" t="s">
        <v>197</v>
      </c>
      <c r="D15">
        <v>68</v>
      </c>
      <c r="E15">
        <v>6.8</v>
      </c>
      <c r="F15">
        <v>462.4</v>
      </c>
      <c r="G15" cm="1">
        <f t="array" ref="G15">SUMPRODUCT(IF($E15=$O$2,$D15*$P$2,IF($E15=$O$3,$D15*$P$3,IF($E15=$O$4,$D15*$P$4,IF($E15=$O$5,$D15*$P$5,IF($E15=$O$6,$D15*$P$6, IF($E15=$O$7,$D15*$P$7,IF($E15=$O$8,$D15*$P$8,IF($E15=$O$9,$D15*$P$9,IF($E15=$O$10,$D15*$P$10,IF($E15=$O$11,$D15*$P$11,IF($E15=$O$12,$D15*$P$12,IF($E15=$O$13,$D15*$P$13,IF($E15=$O$14,$D15*$P$14,IF($E15=$O$15,$D15*$P$15,IF($E15=$O$16,$D15*$P$16,IF($E15=$O$17,$D15*$P$17,IF($E15=$O$18,$D15*$P$18,IF($E15=$O$19,$D15*$P$19,IF($E15=$O$20,$D15*$P$20,IF($E15=$O$21,$D15*$P$21,IF($E15=$O$22,$D15*$P$22,IF($E15=$O$23,$D15*$P$23,IF($E15=$O$24,$D15*$P$24,IF($E15=$O$25,$D15*$P$25,IF($E15=$O$26,$D15*$P$26,IF($E15=$O$27,$D15*$P$27,IF($E15=$O$28,$D15*$P$28,IF($E15=$O$29,$D15*$P$29,IF($E15=$O$30,$D15*$P$30,IF($E15=$O$31,$D15*$P$31,IF($E15=$O$32,$D15*$P$32,IF($E15=$O$33,$D15*$P$33,IF($E15=$O$34,$D15*$P$34,IF($E15=$O$35,$D15*$P$35,n/a)))))))))))))))))))))))))))))))))))</f>
        <v>68</v>
      </c>
      <c r="H15" s="6">
        <f t="shared" si="0"/>
        <v>0</v>
      </c>
      <c r="M15" s="11"/>
      <c r="N15" t="s">
        <v>203</v>
      </c>
      <c r="O15">
        <v>-5.95</v>
      </c>
      <c r="P15" s="12">
        <v>-1</v>
      </c>
    </row>
    <row r="16" spans="1:16" x14ac:dyDescent="0.25">
      <c r="A16">
        <v>1020</v>
      </c>
      <c r="B16" t="s">
        <v>15</v>
      </c>
      <c r="C16" t="s">
        <v>197</v>
      </c>
      <c r="D16">
        <v>33</v>
      </c>
      <c r="E16">
        <v>7.85</v>
      </c>
      <c r="F16">
        <v>259.05</v>
      </c>
      <c r="G16" cm="1">
        <f t="array" ref="G16">SUMPRODUCT(IF($E16=$O$2,$D16*$P$2,IF($E16=$O$3,$D16*$P$3,IF($E16=$O$4,$D16*$P$4,IF($E16=$O$5,$D16*$P$5,IF($E16=$O$6,$D16*$P$6, IF($E16=$O$7,$D16*$P$7,IF($E16=$O$8,$D16*$P$8,IF($E16=$O$9,$D16*$P$9,IF($E16=$O$10,$D16*$P$10,IF($E16=$O$11,$D16*$P$11,IF($E16=$O$12,$D16*$P$12,IF($E16=$O$13,$D16*$P$13,IF($E16=$O$14,$D16*$P$14,IF($E16=$O$15,$D16*$P$15,IF($E16=$O$16,$D16*$P$16,IF($E16=$O$17,$D16*$P$17,IF($E16=$O$18,$D16*$P$18,IF($E16=$O$19,$D16*$P$19,IF($E16=$O$20,$D16*$P$20,IF($E16=$O$21,$D16*$P$21,IF($E16=$O$22,$D16*$P$22,IF($E16=$O$23,$D16*$P$23,IF($E16=$O$24,$D16*$P$24,IF($E16=$O$25,$D16*$P$25,IF($E16=$O$26,$D16*$P$26,IF($E16=$O$27,$D16*$P$27,IF($E16=$O$28,$D16*$P$28,IF($E16=$O$29,$D16*$P$29,IF($E16=$O$30,$D16*$P$30,IF($E16=$O$31,$D16*$P$31,IF($E16=$O$32,$D16*$P$32,IF($E16=$O$33,$D16*$P$33,IF($E16=$O$34,$D16*$P$34,IF($E16=$O$35,$D16*$P$35,n/a)))))))))))))))))))))))))))))))))))</f>
        <v>33</v>
      </c>
      <c r="H16" s="6">
        <f t="shared" si="0"/>
        <v>0</v>
      </c>
      <c r="M16" s="11"/>
      <c r="N16" t="s">
        <v>199</v>
      </c>
      <c r="O16">
        <v>6.8</v>
      </c>
      <c r="P16" s="12">
        <v>1</v>
      </c>
    </row>
    <row r="17" spans="1:16" x14ac:dyDescent="0.25">
      <c r="A17">
        <v>1020</v>
      </c>
      <c r="B17" t="s">
        <v>166</v>
      </c>
      <c r="C17" t="s">
        <v>197</v>
      </c>
      <c r="D17">
        <v>1</v>
      </c>
      <c r="E17">
        <v>12.8</v>
      </c>
      <c r="F17">
        <v>12.8</v>
      </c>
      <c r="G17" cm="1">
        <f t="array" ref="G17">SUMPRODUCT(IF($E17=$O$2,$D17*$P$2,IF($E17=$O$3,$D17*$P$3,IF($E17=$O$4,$D17*$P$4,IF($E17=$O$5,$D17*$P$5,IF($E17=$O$6,$D17*$P$6, IF($E17=$O$7,$D17*$P$7,IF($E17=$O$8,$D17*$P$8,IF($E17=$O$9,$D17*$P$9,IF($E17=$O$10,$D17*$P$10,IF($E17=$O$11,$D17*$P$11,IF($E17=$O$12,$D17*$P$12,IF($E17=$O$13,$D17*$P$13,IF($E17=$O$14,$D17*$P$14,IF($E17=$O$15,$D17*$P$15,IF($E17=$O$16,$D17*$P$16,IF($E17=$O$17,$D17*$P$17,IF($E17=$O$18,$D17*$P$18,IF($E17=$O$19,$D17*$P$19,IF($E17=$O$20,$D17*$P$20,IF($E17=$O$21,$D17*$P$21,IF($E17=$O$22,$D17*$P$22,IF($E17=$O$23,$D17*$P$23,IF($E17=$O$24,$D17*$P$24,IF($E17=$O$25,$D17*$P$25,IF($E17=$O$26,$D17*$P$26,IF($E17=$O$27,$D17*$P$27,IF($E17=$O$28,$D17*$P$28,IF($E17=$O$29,$D17*$P$29,IF($E17=$O$30,$D17*$P$30,IF($E17=$O$31,$D17*$P$31,IF($E17=$O$32,$D17*$P$32,IF($E17=$O$33,$D17*$P$33,IF($E17=$O$34,$D17*$P$34,IF($E17=$O$35,$D17*$P$35,n/a)))))))))))))))))))))))))))))))))))</f>
        <v>1</v>
      </c>
      <c r="H17" s="6">
        <f t="shared" si="0"/>
        <v>0</v>
      </c>
      <c r="M17" s="11"/>
      <c r="N17" t="s">
        <v>203</v>
      </c>
      <c r="O17">
        <v>-6.8</v>
      </c>
      <c r="P17" s="12">
        <v>-1</v>
      </c>
    </row>
    <row r="18" spans="1:16" x14ac:dyDescent="0.25">
      <c r="A18">
        <v>1020</v>
      </c>
      <c r="B18" t="s">
        <v>167</v>
      </c>
      <c r="C18" t="s">
        <v>197</v>
      </c>
      <c r="D18">
        <v>8</v>
      </c>
      <c r="E18">
        <v>14.65</v>
      </c>
      <c r="F18">
        <v>117.2</v>
      </c>
      <c r="G18" cm="1">
        <f t="array" ref="G18">SUMPRODUCT(IF($E18=$O$2,$D18*$P$2,IF($E18=$O$3,$D18*$P$3,IF($E18=$O$4,$D18*$P$4,IF($E18=$O$5,$D18*$P$5,IF($E18=$O$6,$D18*$P$6, IF($E18=$O$7,$D18*$P$7,IF($E18=$O$8,$D18*$P$8,IF($E18=$O$9,$D18*$P$9,IF($E18=$O$10,$D18*$P$10,IF($E18=$O$11,$D18*$P$11,IF($E18=$O$12,$D18*$P$12,IF($E18=$O$13,$D18*$P$13,IF($E18=$O$14,$D18*$P$14,IF($E18=$O$15,$D18*$P$15,IF($E18=$O$16,$D18*$P$16,IF($E18=$O$17,$D18*$P$17,IF($E18=$O$18,$D18*$P$18,IF($E18=$O$19,$D18*$P$19,IF($E18=$O$20,$D18*$P$20,IF($E18=$O$21,$D18*$P$21,IF($E18=$O$22,$D18*$P$22,IF($E18=$O$23,$D18*$P$23,IF($E18=$O$24,$D18*$P$24,IF($E18=$O$25,$D18*$P$25,IF($E18=$O$26,$D18*$P$26,IF($E18=$O$27,$D18*$P$27,IF($E18=$O$28,$D18*$P$28,IF($E18=$O$29,$D18*$P$29,IF($E18=$O$30,$D18*$P$30,IF($E18=$O$31,$D18*$P$31,IF($E18=$O$32,$D18*$P$32,IF($E18=$O$33,$D18*$P$33,IF($E18=$O$34,$D18*$P$34,IF($E18=$O$35,$D18*$P$35,n/a)))))))))))))))))))))))))))))))))))</f>
        <v>8</v>
      </c>
      <c r="H18" s="6">
        <f t="shared" si="0"/>
        <v>0</v>
      </c>
      <c r="M18" s="11"/>
      <c r="N18" t="s">
        <v>199</v>
      </c>
      <c r="O18">
        <v>6.85</v>
      </c>
      <c r="P18" s="12">
        <v>1</v>
      </c>
    </row>
    <row r="19" spans="1:16" x14ac:dyDescent="0.25">
      <c r="A19">
        <v>1020</v>
      </c>
      <c r="B19" t="s">
        <v>15</v>
      </c>
      <c r="C19" t="s">
        <v>197</v>
      </c>
      <c r="D19">
        <v>11</v>
      </c>
      <c r="E19">
        <v>15.7</v>
      </c>
      <c r="F19">
        <v>172.7</v>
      </c>
      <c r="G19" cm="1">
        <f t="array" ref="G19">SUMPRODUCT(IF($E19=$O$2,$D19*$P$2,IF($E19=$O$3,$D19*$P$3,IF($E19=$O$4,$D19*$P$4,IF($E19=$O$5,$D19*$P$5,IF($E19=$O$6,$D19*$P$6, IF($E19=$O$7,$D19*$P$7,IF($E19=$O$8,$D19*$P$8,IF($E19=$O$9,$D19*$P$9,IF($E19=$O$10,$D19*$P$10,IF($E19=$O$11,$D19*$P$11,IF($E19=$O$12,$D19*$P$12,IF($E19=$O$13,$D19*$P$13,IF($E19=$O$14,$D19*$P$14,IF($E19=$O$15,$D19*$P$15,IF($E19=$O$16,$D19*$P$16,IF($E19=$O$17,$D19*$P$17,IF($E19=$O$18,$D19*$P$18,IF($E19=$O$19,$D19*$P$19,IF($E19=$O$20,$D19*$P$20,IF($E19=$O$21,$D19*$P$21,IF($E19=$O$22,$D19*$P$22,IF($E19=$O$23,$D19*$P$23,IF($E19=$O$24,$D19*$P$24,IF($E19=$O$25,$D19*$P$25,IF($E19=$O$26,$D19*$P$26,IF($E19=$O$27,$D19*$P$27,IF($E19=$O$28,$D19*$P$28,IF($E19=$O$29,$D19*$P$29,IF($E19=$O$30,$D19*$P$30,IF($E19=$O$31,$D19*$P$31,IF($E19=$O$32,$D19*$P$32,IF($E19=$O$33,$D19*$P$33,IF($E19=$O$34,$D19*$P$34,IF($E19=$O$35,$D19*$P$35,n/a)))))))))))))))))))))))))))))))))))</f>
        <v>22</v>
      </c>
      <c r="H19" s="6">
        <f t="shared" si="0"/>
        <v>0</v>
      </c>
      <c r="M19" s="11"/>
      <c r="N19" t="s">
        <v>203</v>
      </c>
      <c r="O19">
        <v>-6.85</v>
      </c>
      <c r="P19" s="12">
        <v>-1</v>
      </c>
    </row>
    <row r="20" spans="1:16" x14ac:dyDescent="0.25">
      <c r="A20">
        <v>1020</v>
      </c>
      <c r="B20" t="s">
        <v>168</v>
      </c>
      <c r="C20" t="s">
        <v>197</v>
      </c>
      <c r="D20">
        <v>2</v>
      </c>
      <c r="E20">
        <v>20.65</v>
      </c>
      <c r="F20">
        <v>41.3</v>
      </c>
      <c r="G20" cm="1">
        <f t="array" ref="G20">SUMPRODUCT(IF($E20=$O$2,$D20*$P$2,IF($E20=$O$3,$D20*$P$3,IF($E20=$O$4,$D20*$P$4,IF($E20=$O$5,$D20*$P$5,IF($E20=$O$6,$D20*$P$6, IF($E20=$O$7,$D20*$P$7,IF($E20=$O$8,$D20*$P$8,IF($E20=$O$9,$D20*$P$9,IF($E20=$O$10,$D20*$P$10,IF($E20=$O$11,$D20*$P$11,IF($E20=$O$12,$D20*$P$12,IF($E20=$O$13,$D20*$P$13,IF($E20=$O$14,$D20*$P$14,IF($E20=$O$15,$D20*$P$15,IF($E20=$O$16,$D20*$P$16,IF($E20=$O$17,$D20*$P$17,IF($E20=$O$18,$D20*$P$18,IF($E20=$O$19,$D20*$P$19,IF($E20=$O$20,$D20*$P$20,IF($E20=$O$21,$D20*$P$21,IF($E20=$O$22,$D20*$P$22,IF($E20=$O$23,$D20*$P$23,IF($E20=$O$24,$D20*$P$24,IF($E20=$O$25,$D20*$P$25,IF($E20=$O$26,$D20*$P$26,IF($E20=$O$27,$D20*$P$27,IF($E20=$O$28,$D20*$P$28,IF($E20=$O$29,$D20*$P$29,IF($E20=$O$30,$D20*$P$30,IF($E20=$O$31,$D20*$P$31,IF($E20=$O$32,$D20*$P$32,IF($E20=$O$33,$D20*$P$33,IF($E20=$O$34,$D20*$P$34,IF($E20=$O$35,$D20*$P$35,n/a)))))))))))))))))))))))))))))))))))</f>
        <v>2</v>
      </c>
      <c r="H20" s="6">
        <f t="shared" si="0"/>
        <v>0</v>
      </c>
      <c r="M20" s="11"/>
      <c r="N20" t="s">
        <v>200</v>
      </c>
      <c r="O20">
        <v>7.8</v>
      </c>
      <c r="P20" s="12">
        <v>1</v>
      </c>
    </row>
    <row r="21" spans="1:16" x14ac:dyDescent="0.25">
      <c r="A21">
        <v>1020</v>
      </c>
      <c r="B21" t="s">
        <v>15</v>
      </c>
      <c r="C21" t="s">
        <v>197</v>
      </c>
      <c r="D21">
        <v>1</v>
      </c>
      <c r="E21">
        <v>23.55</v>
      </c>
      <c r="F21">
        <v>23.55</v>
      </c>
      <c r="G21" cm="1">
        <f t="array" ref="G21">SUMPRODUCT(IF($E21=$O$2,$D21*$P$2,IF($E21=$O$3,$D21*$P$3,IF($E21=$O$4,$D21*$P$4,IF($E21=$O$5,$D21*$P$5,IF($E21=$O$6,$D21*$P$6, IF($E21=$O$7,$D21*$P$7,IF($E21=$O$8,$D21*$P$8,IF($E21=$O$9,$D21*$P$9,IF($E21=$O$10,$D21*$P$10,IF($E21=$O$11,$D21*$P$11,IF($E21=$O$12,$D21*$P$12,IF($E21=$O$13,$D21*$P$13,IF($E21=$O$14,$D21*$P$14,IF($E21=$O$15,$D21*$P$15,IF($E21=$O$16,$D21*$P$16,IF($E21=$O$17,$D21*$P$17,IF($E21=$O$18,$D21*$P$18,IF($E21=$O$19,$D21*$P$19,IF($E21=$O$20,$D21*$P$20,IF($E21=$O$21,$D21*$P$21,IF($E21=$O$22,$D21*$P$22,IF($E21=$O$23,$D21*$P$23,IF($E21=$O$24,$D21*$P$24,IF($E21=$O$25,$D21*$P$25,IF($E21=$O$26,$D21*$P$26,IF($E21=$O$27,$D21*$P$27,IF($E21=$O$28,$D21*$P$28,IF($E21=$O$29,$D21*$P$29,IF($E21=$O$30,$D21*$P$30,IF($E21=$O$31,$D21*$P$31,IF($E21=$O$32,$D21*$P$32,IF($E21=$O$33,$D21*$P$33,IF($E21=$O$34,$D21*$P$34,IF($E21=$O$35,$D21*$P$35,n/a)))))))))))))))))))))))))))))))))))</f>
        <v>3</v>
      </c>
      <c r="H21" s="6">
        <f t="shared" si="0"/>
        <v>0</v>
      </c>
      <c r="M21" s="11"/>
      <c r="N21" t="s">
        <v>203</v>
      </c>
      <c r="O21">
        <v>-7.8</v>
      </c>
      <c r="P21" s="12">
        <v>-1</v>
      </c>
    </row>
    <row r="22" spans="1:16" x14ac:dyDescent="0.25">
      <c r="A22">
        <v>1020</v>
      </c>
      <c r="B22" t="s">
        <v>165</v>
      </c>
      <c r="C22" t="s">
        <v>197</v>
      </c>
      <c r="D22">
        <v>1</v>
      </c>
      <c r="E22">
        <v>-6.8</v>
      </c>
      <c r="F22">
        <v>-6.8</v>
      </c>
      <c r="G22" cm="1">
        <f t="array" ref="G22">SUMPRODUCT(IF($E22=$O$2,$D22*$P$2,IF($E22=$O$3,$D22*$P$3,IF($E22=$O$4,$D22*$P$4,IF($E22=$O$5,$D22*$P$5,IF($E22=$O$6,$D22*$P$6, IF($E22=$O$7,$D22*$P$7,IF($E22=$O$8,$D22*$P$8,IF($E22=$O$9,$D22*$P$9,IF($E22=$O$10,$D22*$P$10,IF($E22=$O$11,$D22*$P$11,IF($E22=$O$12,$D22*$P$12,IF($E22=$O$13,$D22*$P$13,IF($E22=$O$14,$D22*$P$14,IF($E22=$O$15,$D22*$P$15,IF($E22=$O$16,$D22*$P$16,IF($E22=$O$17,$D22*$P$17,IF($E22=$O$18,$D22*$P$18,IF($E22=$O$19,$D22*$P$19,IF($E22=$O$20,$D22*$P$20,IF($E22=$O$21,$D22*$P$21,IF($E22=$O$22,$D22*$P$22,IF($E22=$O$23,$D22*$P$23,IF($E22=$O$24,$D22*$P$24,IF($E22=$O$25,$D22*$P$25,IF($E22=$O$26,$D22*$P$26,IF($E22=$O$27,$D22*$P$27,IF($E22=$O$28,$D22*$P$28,IF($E22=$O$29,$D22*$P$29,IF($E22=$O$30,$D22*$P$30,IF($E22=$O$31,$D22*$P$31,IF($E22=$O$32,$D22*$P$32,IF($E22=$O$33,$D22*$P$33,IF($E22=$O$34,$D22*$P$34,IF($E22=$O$35,$D22*$P$35,n/a)))))))))))))))))))))))))))))))))))</f>
        <v>-1</v>
      </c>
      <c r="H22" s="6">
        <f t="shared" si="0"/>
        <v>-10</v>
      </c>
      <c r="M22" s="11"/>
      <c r="N22" t="s">
        <v>199</v>
      </c>
      <c r="O22">
        <v>6.95</v>
      </c>
      <c r="P22" s="12">
        <v>1</v>
      </c>
    </row>
    <row r="23" spans="1:16" x14ac:dyDescent="0.25">
      <c r="A23">
        <v>1020</v>
      </c>
      <c r="B23" t="s">
        <v>15</v>
      </c>
      <c r="C23" t="s">
        <v>197</v>
      </c>
      <c r="D23">
        <v>1</v>
      </c>
      <c r="E23">
        <v>-7.85</v>
      </c>
      <c r="F23">
        <v>-7.85</v>
      </c>
      <c r="G23" cm="1">
        <f t="array" ref="G23">SUMPRODUCT(IF($E23=$O$2,$D23*$P$2,IF($E23=$O$3,$D23*$P$3,IF($E23=$O$4,$D23*$P$4,IF($E23=$O$5,$D23*$P$5,IF($E23=$O$6,$D23*$P$6, IF($E23=$O$7,$D23*$P$7,IF($E23=$O$8,$D23*$P$8,IF($E23=$O$9,$D23*$P$9,IF($E23=$O$10,$D23*$P$10,IF($E23=$O$11,$D23*$P$11,IF($E23=$O$12,$D23*$P$12,IF($E23=$O$13,$D23*$P$13,IF($E23=$O$14,$D23*$P$14,IF($E23=$O$15,$D23*$P$15,IF($E23=$O$16,$D23*$P$16,IF($E23=$O$17,$D23*$P$17,IF($E23=$O$18,$D23*$P$18,IF($E23=$O$19,$D23*$P$19,IF($E23=$O$20,$D23*$P$20,IF($E23=$O$21,$D23*$P$21,IF($E23=$O$22,$D23*$P$22,IF($E23=$O$23,$D23*$P$23,IF($E23=$O$24,$D23*$P$24,IF($E23=$O$25,$D23*$P$25,IF($E23=$O$26,$D23*$P$26,IF($E23=$O$27,$D23*$P$27,IF($E23=$O$28,$D23*$P$28,IF($E23=$O$29,$D23*$P$29,IF($E23=$O$30,$D23*$P$30,IF($E23=$O$31,$D23*$P$31,IF($E23=$O$32,$D23*$P$32,IF($E23=$O$33,$D23*$P$33,IF($E23=$O$34,$D23*$P$34,IF($E23=$O$35,$D23*$P$35,n/a)))))))))))))))))))))))))))))))))))</f>
        <v>-1</v>
      </c>
      <c r="H23" s="6">
        <f t="shared" si="0"/>
        <v>-10</v>
      </c>
      <c r="M23" s="11"/>
      <c r="N23" t="s">
        <v>203</v>
      </c>
      <c r="O23">
        <v>-6.95</v>
      </c>
      <c r="P23" s="12">
        <v>-1</v>
      </c>
    </row>
    <row r="24" spans="1:16" x14ac:dyDescent="0.25">
      <c r="A24">
        <v>1020</v>
      </c>
      <c r="B24" t="s">
        <v>15</v>
      </c>
      <c r="C24" t="s">
        <v>197</v>
      </c>
      <c r="D24">
        <v>1</v>
      </c>
      <c r="E24">
        <v>-15.7</v>
      </c>
      <c r="F24">
        <v>-15.7</v>
      </c>
      <c r="G24" cm="1">
        <f t="array" ref="G24">SUMPRODUCT(IF($E24=$O$2,$D24*$P$2,IF($E24=$O$3,$D24*$P$3,IF($E24=$O$4,$D24*$P$4,IF($E24=$O$5,$D24*$P$5,IF($E24=$O$6,$D24*$P$6, IF($E24=$O$7,$D24*$P$7,IF($E24=$O$8,$D24*$P$8,IF($E24=$O$9,$D24*$P$9,IF($E24=$O$10,$D24*$P$10,IF($E24=$O$11,$D24*$P$11,IF($E24=$O$12,$D24*$P$12,IF($E24=$O$13,$D24*$P$13,IF($E24=$O$14,$D24*$P$14,IF($E24=$O$15,$D24*$P$15,IF($E24=$O$16,$D24*$P$16,IF($E24=$O$17,$D24*$P$17,IF($E24=$O$18,$D24*$P$18,IF($E24=$O$19,$D24*$P$19,IF($E24=$O$20,$D24*$P$20,IF($E24=$O$21,$D24*$P$21,IF($E24=$O$22,$D24*$P$22,IF($E24=$O$23,$D24*$P$23,IF($E24=$O$24,$D24*$P$24,IF($E24=$O$25,$D24*$P$25,IF($E24=$O$26,$D24*$P$26,IF($E24=$O$27,$D24*$P$27,IF($E24=$O$28,$D24*$P$28,IF($E24=$O$29,$D24*$P$29,IF($E24=$O$30,$D24*$P$30,IF($E24=$O$31,$D24*$P$31,IF($E24=$O$32,$D24*$P$32,IF($E24=$O$33,$D24*$P$33,IF($E24=$O$34,$D24*$P$34,IF($E24=$O$35,$D24*$P$35,n/a)))))))))))))))))))))))))))))))))))</f>
        <v>-2</v>
      </c>
      <c r="H24" s="6">
        <f t="shared" si="0"/>
        <v>-20</v>
      </c>
      <c r="M24" s="11"/>
      <c r="N24" t="s">
        <v>200</v>
      </c>
      <c r="O24">
        <v>9.9499999999999993</v>
      </c>
      <c r="P24" s="12">
        <v>1</v>
      </c>
    </row>
    <row r="25" spans="1:16" x14ac:dyDescent="0.25">
      <c r="A25">
        <v>1020</v>
      </c>
      <c r="B25" t="s">
        <v>17</v>
      </c>
      <c r="C25" t="s">
        <v>197</v>
      </c>
      <c r="D25">
        <v>369</v>
      </c>
      <c r="E25">
        <v>7.85</v>
      </c>
      <c r="F25">
        <v>2896.65</v>
      </c>
      <c r="G25" cm="1">
        <f t="array" ref="G25">SUMPRODUCT(IF($E25=$O$2,$D25*$P$2,IF($E25=$O$3,$D25*$P$3,IF($E25=$O$4,$D25*$P$4,IF($E25=$O$5,$D25*$P$5,IF($E25=$O$6,$D25*$P$6, IF($E25=$O$7,$D25*$P$7,IF($E25=$O$8,$D25*$P$8,IF($E25=$O$9,$D25*$P$9,IF($E25=$O$10,$D25*$P$10,IF($E25=$O$11,$D25*$P$11,IF($E25=$O$12,$D25*$P$12,IF($E25=$O$13,$D25*$P$13,IF($E25=$O$14,$D25*$P$14,IF($E25=$O$15,$D25*$P$15,IF($E25=$O$16,$D25*$P$16,IF($E25=$O$17,$D25*$P$17,IF($E25=$O$18,$D25*$P$18,IF($E25=$O$19,$D25*$P$19,IF($E25=$O$20,$D25*$P$20,IF($E25=$O$21,$D25*$P$21,IF($E25=$O$22,$D25*$P$22,IF($E25=$O$23,$D25*$P$23,IF($E25=$O$24,$D25*$P$24,IF($E25=$O$25,$D25*$P$25,IF($E25=$O$26,$D25*$P$26,IF($E25=$O$27,$D25*$P$27,IF($E25=$O$28,$D25*$P$28,IF($E25=$O$29,$D25*$P$29,IF($E25=$O$30,$D25*$P$30,IF($E25=$O$31,$D25*$P$31,IF($E25=$O$32,$D25*$P$32,IF($E25=$O$33,$D25*$P$33,IF($E25=$O$34,$D25*$P$34,IF($E25=$O$35,$D25*$P$35,n/a)))))))))))))))))))))))))))))))))))</f>
        <v>369</v>
      </c>
      <c r="H25" s="6">
        <f t="shared" si="0"/>
        <v>0</v>
      </c>
      <c r="M25" s="11"/>
      <c r="N25" t="s">
        <v>203</v>
      </c>
      <c r="O25">
        <v>-9.9499999999999993</v>
      </c>
      <c r="P25" s="12">
        <v>-1</v>
      </c>
    </row>
    <row r="26" spans="1:16" x14ac:dyDescent="0.25">
      <c r="A26">
        <v>1020</v>
      </c>
      <c r="B26" t="s">
        <v>169</v>
      </c>
      <c r="C26" t="s">
        <v>197</v>
      </c>
      <c r="D26">
        <v>339</v>
      </c>
      <c r="E26">
        <v>5.95</v>
      </c>
      <c r="F26">
        <v>2017.05</v>
      </c>
      <c r="G26" cm="1">
        <f t="array" ref="G26">SUMPRODUCT(IF($E26=$O$2,$D26*$P$2,IF($E26=$O$3,$D26*$P$3,IF($E26=$O$4,$D26*$P$4,IF($E26=$O$5,$D26*$P$5,IF($E26=$O$6,$D26*$P$6, IF($E26=$O$7,$D26*$P$7,IF($E26=$O$8,$D26*$P$8,IF($E26=$O$9,$D26*$P$9,IF($E26=$O$10,$D26*$P$10,IF($E26=$O$11,$D26*$P$11,IF($E26=$O$12,$D26*$P$12,IF($E26=$O$13,$D26*$P$13,IF($E26=$O$14,$D26*$P$14,IF($E26=$O$15,$D26*$P$15,IF($E26=$O$16,$D26*$P$16,IF($E26=$O$17,$D26*$P$17,IF($E26=$O$18,$D26*$P$18,IF($E26=$O$19,$D26*$P$19,IF($E26=$O$20,$D26*$P$20,IF($E26=$O$21,$D26*$P$21,IF($E26=$O$22,$D26*$P$22,IF($E26=$O$23,$D26*$P$23,IF($E26=$O$24,$D26*$P$24,IF($E26=$O$25,$D26*$P$25,IF($E26=$O$26,$D26*$P$26,IF($E26=$O$27,$D26*$P$27,IF($E26=$O$28,$D26*$P$28,IF($E26=$O$29,$D26*$P$29,IF($E26=$O$30,$D26*$P$30,IF($E26=$O$31,$D26*$P$31,IF($E26=$O$32,$D26*$P$32,IF($E26=$O$33,$D26*$P$33,IF($E26=$O$34,$D26*$P$34,IF($E26=$O$35,$D26*$P$35,n/a)))))))))))))))))))))))))))))))))))</f>
        <v>339</v>
      </c>
      <c r="H26" s="6">
        <f t="shared" si="0"/>
        <v>0</v>
      </c>
      <c r="M26" s="11"/>
      <c r="N26" t="s">
        <v>200</v>
      </c>
      <c r="O26">
        <v>14.65</v>
      </c>
      <c r="P26" s="12">
        <v>1</v>
      </c>
    </row>
    <row r="27" spans="1:16" x14ac:dyDescent="0.25">
      <c r="A27">
        <v>1020</v>
      </c>
      <c r="B27" t="s">
        <v>19</v>
      </c>
      <c r="C27" t="s">
        <v>197</v>
      </c>
      <c r="D27">
        <v>37</v>
      </c>
      <c r="E27">
        <v>7.85</v>
      </c>
      <c r="F27">
        <v>290.45</v>
      </c>
      <c r="G27" cm="1">
        <f t="array" ref="G27">SUMPRODUCT(IF($E27=$O$2,$D27*$P$2,IF($E27=$O$3,$D27*$P$3,IF($E27=$O$4,$D27*$P$4,IF($E27=$O$5,$D27*$P$5,IF($E27=$O$6,$D27*$P$6, IF($E27=$O$7,$D27*$P$7,IF($E27=$O$8,$D27*$P$8,IF($E27=$O$9,$D27*$P$9,IF($E27=$O$10,$D27*$P$10,IF($E27=$O$11,$D27*$P$11,IF($E27=$O$12,$D27*$P$12,IF($E27=$O$13,$D27*$P$13,IF($E27=$O$14,$D27*$P$14,IF($E27=$O$15,$D27*$P$15,IF($E27=$O$16,$D27*$P$16,IF($E27=$O$17,$D27*$P$17,IF($E27=$O$18,$D27*$P$18,IF($E27=$O$19,$D27*$P$19,IF($E27=$O$20,$D27*$P$20,IF($E27=$O$21,$D27*$P$21,IF($E27=$O$22,$D27*$P$22,IF($E27=$O$23,$D27*$P$23,IF($E27=$O$24,$D27*$P$24,IF($E27=$O$25,$D27*$P$25,IF($E27=$O$26,$D27*$P$26,IF($E27=$O$27,$D27*$P$27,IF($E27=$O$28,$D27*$P$28,IF($E27=$O$29,$D27*$P$29,IF($E27=$O$30,$D27*$P$30,IF($E27=$O$31,$D27*$P$31,IF($E27=$O$32,$D27*$P$32,IF($E27=$O$33,$D27*$P$33,IF($E27=$O$34,$D27*$P$34,IF($E27=$O$35,$D27*$P$35,n/a)))))))))))))))))))))))))))))))))))</f>
        <v>37</v>
      </c>
      <c r="H27" s="6">
        <f t="shared" si="0"/>
        <v>0</v>
      </c>
      <c r="M27" s="11"/>
      <c r="N27" t="s">
        <v>203</v>
      </c>
      <c r="O27">
        <v>-14.65</v>
      </c>
      <c r="P27" s="12">
        <v>-1</v>
      </c>
    </row>
    <row r="28" spans="1:16" x14ac:dyDescent="0.25">
      <c r="A28">
        <v>1020</v>
      </c>
      <c r="B28" t="s">
        <v>170</v>
      </c>
      <c r="C28" t="s">
        <v>197</v>
      </c>
      <c r="D28">
        <v>1</v>
      </c>
      <c r="E28">
        <v>9.9499999999999993</v>
      </c>
      <c r="F28">
        <v>9.9499999999999993</v>
      </c>
      <c r="G28" cm="1">
        <f t="array" ref="G28">SUMPRODUCT(IF($E28=$O$2,$D28*$P$2,IF($E28=$O$3,$D28*$P$3,IF($E28=$O$4,$D28*$P$4,IF($E28=$O$5,$D28*$P$5,IF($E28=$O$6,$D28*$P$6, IF($E28=$O$7,$D28*$P$7,IF($E28=$O$8,$D28*$P$8,IF($E28=$O$9,$D28*$P$9,IF($E28=$O$10,$D28*$P$10,IF($E28=$O$11,$D28*$P$11,IF($E28=$O$12,$D28*$P$12,IF($E28=$O$13,$D28*$P$13,IF($E28=$O$14,$D28*$P$14,IF($E28=$O$15,$D28*$P$15,IF($E28=$O$16,$D28*$P$16,IF($E28=$O$17,$D28*$P$17,IF($E28=$O$18,$D28*$P$18,IF($E28=$O$19,$D28*$P$19,IF($E28=$O$20,$D28*$P$20,IF($E28=$O$21,$D28*$P$21,IF($E28=$O$22,$D28*$P$22,IF($E28=$O$23,$D28*$P$23,IF($E28=$O$24,$D28*$P$24,IF($E28=$O$25,$D28*$P$25,IF($E28=$O$26,$D28*$P$26,IF($E28=$O$27,$D28*$P$27,IF($E28=$O$28,$D28*$P$28,IF($E28=$O$29,$D28*$P$29,IF($E28=$O$30,$D28*$P$30,IF($E28=$O$31,$D28*$P$31,IF($E28=$O$32,$D28*$P$32,IF($E28=$O$33,$D28*$P$33,IF($E28=$O$34,$D28*$P$34,IF($E28=$O$35,$D28*$P$35,n/a)))))))))))))))))))))))))))))))))))</f>
        <v>1</v>
      </c>
      <c r="H28" s="6">
        <f t="shared" si="0"/>
        <v>0</v>
      </c>
      <c r="M28" s="11"/>
      <c r="N28" t="s">
        <v>199</v>
      </c>
      <c r="O28">
        <v>5.7</v>
      </c>
      <c r="P28" s="12">
        <v>1</v>
      </c>
    </row>
    <row r="29" spans="1:16" x14ac:dyDescent="0.25">
      <c r="A29">
        <v>1020</v>
      </c>
      <c r="B29" t="s">
        <v>19</v>
      </c>
      <c r="C29" t="s">
        <v>197</v>
      </c>
      <c r="D29">
        <v>2</v>
      </c>
      <c r="E29">
        <v>-7.85</v>
      </c>
      <c r="F29">
        <v>-15.7</v>
      </c>
      <c r="G29" cm="1">
        <f t="array" ref="G29">SUMPRODUCT(IF($E29=$O$2,$D29*$P$2,IF($E29=$O$3,$D29*$P$3,IF($E29=$O$4,$D29*$P$4,IF($E29=$O$5,$D29*$P$5,IF($E29=$O$6,$D29*$P$6, IF($E29=$O$7,$D29*$P$7,IF($E29=$O$8,$D29*$P$8,IF($E29=$O$9,$D29*$P$9,IF($E29=$O$10,$D29*$P$10,IF($E29=$O$11,$D29*$P$11,IF($E29=$O$12,$D29*$P$12,IF($E29=$O$13,$D29*$P$13,IF($E29=$O$14,$D29*$P$14,IF($E29=$O$15,$D29*$P$15,IF($E29=$O$16,$D29*$P$16,IF($E29=$O$17,$D29*$P$17,IF($E29=$O$18,$D29*$P$18,IF($E29=$O$19,$D29*$P$19,IF($E29=$O$20,$D29*$P$20,IF($E29=$O$21,$D29*$P$21,IF($E29=$O$22,$D29*$P$22,IF($E29=$O$23,$D29*$P$23,IF($E29=$O$24,$D29*$P$24,IF($E29=$O$25,$D29*$P$25,IF($E29=$O$26,$D29*$P$26,IF($E29=$O$27,$D29*$P$27,IF($E29=$O$28,$D29*$P$28,IF($E29=$O$29,$D29*$P$29,IF($E29=$O$30,$D29*$P$30,IF($E29=$O$31,$D29*$P$31,IF($E29=$O$32,$D29*$P$32,IF($E29=$O$33,$D29*$P$33,IF($E29=$O$34,$D29*$P$34,IF($E29=$O$35,$D29*$P$35,n/a)))))))))))))))))))))))))))))))))))</f>
        <v>-2</v>
      </c>
      <c r="H29" s="6">
        <f t="shared" si="0"/>
        <v>-20</v>
      </c>
      <c r="M29" s="11"/>
      <c r="N29" t="s">
        <v>203</v>
      </c>
      <c r="O29">
        <v>-5.7</v>
      </c>
      <c r="P29" s="12">
        <v>-1</v>
      </c>
    </row>
    <row r="30" spans="1:16" x14ac:dyDescent="0.25">
      <c r="A30">
        <v>1020</v>
      </c>
      <c r="B30" t="s">
        <v>171</v>
      </c>
      <c r="C30" t="s">
        <v>197</v>
      </c>
      <c r="D30">
        <v>4</v>
      </c>
      <c r="E30">
        <v>6.85</v>
      </c>
      <c r="F30">
        <v>27.4</v>
      </c>
      <c r="G30" cm="1">
        <f t="array" ref="G30">SUMPRODUCT(IF($E30=$O$2,$D30*$P$2,IF($E30=$O$3,$D30*$P$3,IF($E30=$O$4,$D30*$P$4,IF($E30=$O$5,$D30*$P$5,IF($E30=$O$6,$D30*$P$6, IF($E30=$O$7,$D30*$P$7,IF($E30=$O$8,$D30*$P$8,IF($E30=$O$9,$D30*$P$9,IF($E30=$O$10,$D30*$P$10,IF($E30=$O$11,$D30*$P$11,IF($E30=$O$12,$D30*$P$12,IF($E30=$O$13,$D30*$P$13,IF($E30=$O$14,$D30*$P$14,IF($E30=$O$15,$D30*$P$15,IF($E30=$O$16,$D30*$P$16,IF($E30=$O$17,$D30*$P$17,IF($E30=$O$18,$D30*$P$18,IF($E30=$O$19,$D30*$P$19,IF($E30=$O$20,$D30*$P$20,IF($E30=$O$21,$D30*$P$21,IF($E30=$O$22,$D30*$P$22,IF($E30=$O$23,$D30*$P$23,IF($E30=$O$24,$D30*$P$24,IF($E30=$O$25,$D30*$P$25,IF($E30=$O$26,$D30*$P$26,IF($E30=$O$27,$D30*$P$27,IF($E30=$O$28,$D30*$P$28,IF($E30=$O$29,$D30*$P$29,IF($E30=$O$30,$D30*$P$30,IF($E30=$O$31,$D30*$P$31,IF($E30=$O$32,$D30*$P$32,IF($E30=$O$33,$D30*$P$33,IF($E30=$O$34,$D30*$P$34,IF($E30=$O$35,$D30*$P$35,n/a)))))))))))))))))))))))))))))))))))</f>
        <v>4</v>
      </c>
      <c r="H30" s="6">
        <f t="shared" si="0"/>
        <v>0</v>
      </c>
      <c r="M30" s="11"/>
      <c r="N30" t="s">
        <v>200</v>
      </c>
      <c r="O30">
        <v>20.65</v>
      </c>
      <c r="P30" s="12">
        <v>1</v>
      </c>
    </row>
    <row r="31" spans="1:16" x14ac:dyDescent="0.25">
      <c r="A31">
        <v>1020</v>
      </c>
      <c r="B31" t="s">
        <v>21</v>
      </c>
      <c r="C31" t="s">
        <v>197</v>
      </c>
      <c r="D31">
        <v>150</v>
      </c>
      <c r="E31">
        <v>7.85</v>
      </c>
      <c r="F31">
        <v>1177.5</v>
      </c>
      <c r="G31" cm="1">
        <f t="array" ref="G31">SUMPRODUCT(IF($E31=$O$2,$D31*$P$2,IF($E31=$O$3,$D31*$P$3,IF($E31=$O$4,$D31*$P$4,IF($E31=$O$5,$D31*$P$5,IF($E31=$O$6,$D31*$P$6, IF($E31=$O$7,$D31*$P$7,IF($E31=$O$8,$D31*$P$8,IF($E31=$O$9,$D31*$P$9,IF($E31=$O$10,$D31*$P$10,IF($E31=$O$11,$D31*$P$11,IF($E31=$O$12,$D31*$P$12,IF($E31=$O$13,$D31*$P$13,IF($E31=$O$14,$D31*$P$14,IF($E31=$O$15,$D31*$P$15,IF($E31=$O$16,$D31*$P$16,IF($E31=$O$17,$D31*$P$17,IF($E31=$O$18,$D31*$P$18,IF($E31=$O$19,$D31*$P$19,IF($E31=$O$20,$D31*$P$20,IF($E31=$O$21,$D31*$P$21,IF($E31=$O$22,$D31*$P$22,IF($E31=$O$23,$D31*$P$23,IF($E31=$O$24,$D31*$P$24,IF($E31=$O$25,$D31*$P$25,IF($E31=$O$26,$D31*$P$26,IF($E31=$O$27,$D31*$P$27,IF($E31=$O$28,$D31*$P$28,IF($E31=$O$29,$D31*$P$29,IF($E31=$O$30,$D31*$P$30,IF($E31=$O$31,$D31*$P$31,IF($E31=$O$32,$D31*$P$32,IF($E31=$O$33,$D31*$P$33,IF($E31=$O$34,$D31*$P$34,IF($E31=$O$35,$D31*$P$35,n/a)))))))))))))))))))))))))))))))))))</f>
        <v>150</v>
      </c>
      <c r="H31" s="6">
        <f t="shared" ref="H31:H59" si="1">IF($E31&lt;0,$G31*10,0)</f>
        <v>0</v>
      </c>
      <c r="M31" s="11"/>
      <c r="N31" t="s">
        <v>203</v>
      </c>
      <c r="O31">
        <v>-20.65</v>
      </c>
      <c r="P31" s="12">
        <v>-1</v>
      </c>
    </row>
    <row r="32" spans="1:16" x14ac:dyDescent="0.25">
      <c r="A32">
        <v>1020</v>
      </c>
      <c r="B32" t="s">
        <v>21</v>
      </c>
      <c r="C32" t="s">
        <v>197</v>
      </c>
      <c r="D32">
        <v>5</v>
      </c>
      <c r="E32">
        <v>15.7</v>
      </c>
      <c r="F32">
        <v>78.5</v>
      </c>
      <c r="G32" cm="1">
        <f t="array" ref="G32">SUMPRODUCT(IF($E32=$O$2,$D32*$P$2,IF($E32=$O$3,$D32*$P$3,IF($E32=$O$4,$D32*$P$4,IF($E32=$O$5,$D32*$P$5,IF($E32=$O$6,$D32*$P$6, IF($E32=$O$7,$D32*$P$7,IF($E32=$O$8,$D32*$P$8,IF($E32=$O$9,$D32*$P$9,IF($E32=$O$10,$D32*$P$10,IF($E32=$O$11,$D32*$P$11,IF($E32=$O$12,$D32*$P$12,IF($E32=$O$13,$D32*$P$13,IF($E32=$O$14,$D32*$P$14,IF($E32=$O$15,$D32*$P$15,IF($E32=$O$16,$D32*$P$16,IF($E32=$O$17,$D32*$P$17,IF($E32=$O$18,$D32*$P$18,IF($E32=$O$19,$D32*$P$19,IF($E32=$O$20,$D32*$P$20,IF($E32=$O$21,$D32*$P$21,IF($E32=$O$22,$D32*$P$22,IF($E32=$O$23,$D32*$P$23,IF($E32=$O$24,$D32*$P$24,IF($E32=$O$25,$D32*$P$25,IF($E32=$O$26,$D32*$P$26,IF($E32=$O$27,$D32*$P$27,IF($E32=$O$28,$D32*$P$28,IF($E32=$O$29,$D32*$P$29,IF($E32=$O$30,$D32*$P$30,IF($E32=$O$31,$D32*$P$31,IF($E32=$O$32,$D32*$P$32,IF($E32=$O$33,$D32*$P$33,IF($E32=$O$34,$D32*$P$34,IF($E32=$O$35,$D32*$P$35,n/a)))))))))))))))))))))))))))))))))))</f>
        <v>10</v>
      </c>
      <c r="H32" s="6">
        <f t="shared" si="1"/>
        <v>0</v>
      </c>
      <c r="M32" s="11"/>
      <c r="N32" t="s">
        <v>200</v>
      </c>
      <c r="O32">
        <v>12.8</v>
      </c>
      <c r="P32" s="12">
        <v>1</v>
      </c>
    </row>
    <row r="33" spans="1:16" x14ac:dyDescent="0.25">
      <c r="A33">
        <v>1020</v>
      </c>
      <c r="B33" t="s">
        <v>172</v>
      </c>
      <c r="C33" t="s">
        <v>197</v>
      </c>
      <c r="D33">
        <v>3</v>
      </c>
      <c r="E33">
        <v>6.85</v>
      </c>
      <c r="F33">
        <v>20.55</v>
      </c>
      <c r="G33" cm="1">
        <f t="array" ref="G33">SUMPRODUCT(IF($E33=$O$2,$D33*$P$2,IF($E33=$O$3,$D33*$P$3,IF($E33=$O$4,$D33*$P$4,IF($E33=$O$5,$D33*$P$5,IF($E33=$O$6,$D33*$P$6, IF($E33=$O$7,$D33*$P$7,IF($E33=$O$8,$D33*$P$8,IF($E33=$O$9,$D33*$P$9,IF($E33=$O$10,$D33*$P$10,IF($E33=$O$11,$D33*$P$11,IF($E33=$O$12,$D33*$P$12,IF($E33=$O$13,$D33*$P$13,IF($E33=$O$14,$D33*$P$14,IF($E33=$O$15,$D33*$P$15,IF($E33=$O$16,$D33*$P$16,IF($E33=$O$17,$D33*$P$17,IF($E33=$O$18,$D33*$P$18,IF($E33=$O$19,$D33*$P$19,IF($E33=$O$20,$D33*$P$20,IF($E33=$O$21,$D33*$P$21,IF($E33=$O$22,$D33*$P$22,IF($E33=$O$23,$D33*$P$23,IF($E33=$O$24,$D33*$P$24,IF($E33=$O$25,$D33*$P$25,IF($E33=$O$26,$D33*$P$26,IF($E33=$O$27,$D33*$P$27,IF($E33=$O$28,$D33*$P$28,IF($E33=$O$29,$D33*$P$29,IF($E33=$O$30,$D33*$P$30,IF($E33=$O$31,$D33*$P$31,IF($E33=$O$32,$D33*$P$32,IF($E33=$O$33,$D33*$P$33,IF($E33=$O$34,$D33*$P$34,IF($E33=$O$35,$D33*$P$35,n/a)))))))))))))))))))))))))))))))))))</f>
        <v>3</v>
      </c>
      <c r="H33" s="6">
        <f t="shared" si="1"/>
        <v>0</v>
      </c>
      <c r="M33" s="11"/>
      <c r="N33" t="s">
        <v>203</v>
      </c>
      <c r="O33">
        <v>-12.8</v>
      </c>
      <c r="P33" s="12">
        <v>-1</v>
      </c>
    </row>
    <row r="34" spans="1:16" x14ac:dyDescent="0.25">
      <c r="A34">
        <v>1020</v>
      </c>
      <c r="B34" t="s">
        <v>23</v>
      </c>
      <c r="C34" t="s">
        <v>197</v>
      </c>
      <c r="D34">
        <v>72</v>
      </c>
      <c r="E34">
        <v>7.85</v>
      </c>
      <c r="F34">
        <v>565.20000000000005</v>
      </c>
      <c r="G34" cm="1">
        <f t="array" ref="G34">SUMPRODUCT(IF($E34=$O$2,$D34*$P$2,IF($E34=$O$3,$D34*$P$3,IF($E34=$O$4,$D34*$P$4,IF($E34=$O$5,$D34*$P$5,IF($E34=$O$6,$D34*$P$6, IF($E34=$O$7,$D34*$P$7,IF($E34=$O$8,$D34*$P$8,IF($E34=$O$9,$D34*$P$9,IF($E34=$O$10,$D34*$P$10,IF($E34=$O$11,$D34*$P$11,IF($E34=$O$12,$D34*$P$12,IF($E34=$O$13,$D34*$P$13,IF($E34=$O$14,$D34*$P$14,IF($E34=$O$15,$D34*$P$15,IF($E34=$O$16,$D34*$P$16,IF($E34=$O$17,$D34*$P$17,IF($E34=$O$18,$D34*$P$18,IF($E34=$O$19,$D34*$P$19,IF($E34=$O$20,$D34*$P$20,IF($E34=$O$21,$D34*$P$21,IF($E34=$O$22,$D34*$P$22,IF($E34=$O$23,$D34*$P$23,IF($E34=$O$24,$D34*$P$24,IF($E34=$O$25,$D34*$P$25,IF($E34=$O$26,$D34*$P$26,IF($E34=$O$27,$D34*$P$27,IF($E34=$O$28,$D34*$P$28,IF($E34=$O$29,$D34*$P$29,IF($E34=$O$30,$D34*$P$30,IF($E34=$O$31,$D34*$P$31,IF($E34=$O$32,$D34*$P$32,IF($E34=$O$33,$D34*$P$33,IF($E34=$O$34,$D34*$P$34,IF($E34=$O$35,$D34*$P$35,n/a)))))))))))))))))))))))))))))))))))</f>
        <v>72</v>
      </c>
      <c r="H34" s="6">
        <f t="shared" si="1"/>
        <v>0</v>
      </c>
      <c r="M34" s="11"/>
      <c r="N34" t="s">
        <v>200</v>
      </c>
      <c r="O34">
        <v>12.85</v>
      </c>
      <c r="P34" s="12">
        <v>1</v>
      </c>
    </row>
    <row r="35" spans="1:16" x14ac:dyDescent="0.25">
      <c r="A35">
        <v>1020</v>
      </c>
      <c r="B35" t="s">
        <v>23</v>
      </c>
      <c r="C35" t="s">
        <v>197</v>
      </c>
      <c r="D35">
        <v>11</v>
      </c>
      <c r="E35">
        <v>15.7</v>
      </c>
      <c r="F35">
        <v>172.7</v>
      </c>
      <c r="G35" cm="1">
        <f t="array" ref="G35">SUMPRODUCT(IF($E35=$O$2,$D35*$P$2,IF($E35=$O$3,$D35*$P$3,IF($E35=$O$4,$D35*$P$4,IF($E35=$O$5,$D35*$P$5,IF($E35=$O$6,$D35*$P$6, IF($E35=$O$7,$D35*$P$7,IF($E35=$O$8,$D35*$P$8,IF($E35=$O$9,$D35*$P$9,IF($E35=$O$10,$D35*$P$10,IF($E35=$O$11,$D35*$P$11,IF($E35=$O$12,$D35*$P$12,IF($E35=$O$13,$D35*$P$13,IF($E35=$O$14,$D35*$P$14,IF($E35=$O$15,$D35*$P$15,IF($E35=$O$16,$D35*$P$16,IF($E35=$O$17,$D35*$P$17,IF($E35=$O$18,$D35*$P$18,IF($E35=$O$19,$D35*$P$19,IF($E35=$O$20,$D35*$P$20,IF($E35=$O$21,$D35*$P$21,IF($E35=$O$22,$D35*$P$22,IF($E35=$O$23,$D35*$P$23,IF($E35=$O$24,$D35*$P$24,IF($E35=$O$25,$D35*$P$25,IF($E35=$O$26,$D35*$P$26,IF($E35=$O$27,$D35*$P$27,IF($E35=$O$28,$D35*$P$28,IF($E35=$O$29,$D35*$P$29,IF($E35=$O$30,$D35*$P$30,IF($E35=$O$31,$D35*$P$31,IF($E35=$O$32,$D35*$P$32,IF($E35=$O$33,$D35*$P$33,IF($E35=$O$34,$D35*$P$34,IF($E35=$O$35,$D35*$P$35,n/a)))))))))))))))))))))))))))))))))))</f>
        <v>22</v>
      </c>
      <c r="H35" s="6">
        <f t="shared" si="1"/>
        <v>0</v>
      </c>
      <c r="M35" s="11"/>
      <c r="N35" t="s">
        <v>203</v>
      </c>
      <c r="O35">
        <v>-12.85</v>
      </c>
      <c r="P35" s="12">
        <v>-1</v>
      </c>
    </row>
    <row r="36" spans="1:16" x14ac:dyDescent="0.25">
      <c r="A36">
        <v>1020</v>
      </c>
      <c r="B36" t="s">
        <v>23</v>
      </c>
      <c r="C36" t="s">
        <v>197</v>
      </c>
      <c r="D36">
        <v>1</v>
      </c>
      <c r="E36">
        <v>31.4</v>
      </c>
      <c r="F36">
        <v>31.4</v>
      </c>
      <c r="G36" cm="1">
        <f t="array" ref="G36">SUMPRODUCT(IF($E36=$O$2,$D36*$P$2,IF($E36=$O$3,$D36*$P$3,IF($E36=$O$4,$D36*$P$4,IF($E36=$O$5,$D36*$P$5,IF($E36=$O$6,$D36*$P$6, IF($E36=$O$7,$D36*$P$7,IF($E36=$O$8,$D36*$P$8,IF($E36=$O$9,$D36*$P$9,IF($E36=$O$10,$D36*$P$10,IF($E36=$O$11,$D36*$P$11,IF($E36=$O$12,$D36*$P$12,IF($E36=$O$13,$D36*$P$13,IF($E36=$O$14,$D36*$P$14,IF($E36=$O$15,$D36*$P$15,IF($E36=$O$16,$D36*$P$16,IF($E36=$O$17,$D36*$P$17,IF($E36=$O$18,$D36*$P$18,IF($E36=$O$19,$D36*$P$19,IF($E36=$O$20,$D36*$P$20,IF($E36=$O$21,$D36*$P$21,IF($E36=$O$22,$D36*$P$22,IF($E36=$O$23,$D36*$P$23,IF($E36=$O$24,$D36*$P$24,IF($E36=$O$25,$D36*$P$25,IF($E36=$O$26,$D36*$P$26,IF($E36=$O$27,$D36*$P$27,IF($E36=$O$28,$D36*$P$28,IF($E36=$O$29,$D36*$P$29,IF($E36=$O$30,$D36*$P$30,IF($E36=$O$31,$D36*$P$31,IF($E36=$O$32,$D36*$P$32,IF($E36=$O$33,$D36*$P$33,IF($E36=$O$34,$D36*$P$34,IF($E36=$O$35,$D36*$P$35,n/a)))))))))))))))))))))))))))))))))))</f>
        <v>4</v>
      </c>
      <c r="H36" s="6">
        <f t="shared" si="1"/>
        <v>0</v>
      </c>
    </row>
    <row r="37" spans="1:16" x14ac:dyDescent="0.25">
      <c r="A37">
        <v>1020</v>
      </c>
      <c r="B37" t="s">
        <v>173</v>
      </c>
      <c r="C37" t="s">
        <v>197</v>
      </c>
      <c r="D37">
        <v>32</v>
      </c>
      <c r="E37">
        <v>6.8</v>
      </c>
      <c r="F37">
        <v>217.6</v>
      </c>
      <c r="G37" cm="1">
        <f t="array" ref="G37">SUMPRODUCT(IF($E37=$O$2,$D37*$P$2,IF($E37=$O$3,$D37*$P$3,IF($E37=$O$4,$D37*$P$4,IF($E37=$O$5,$D37*$P$5,IF($E37=$O$6,$D37*$P$6, IF($E37=$O$7,$D37*$P$7,IF($E37=$O$8,$D37*$P$8,IF($E37=$O$9,$D37*$P$9,IF($E37=$O$10,$D37*$P$10,IF($E37=$O$11,$D37*$P$11,IF($E37=$O$12,$D37*$P$12,IF($E37=$O$13,$D37*$P$13,IF($E37=$O$14,$D37*$P$14,IF($E37=$O$15,$D37*$P$15,IF($E37=$O$16,$D37*$P$16,IF($E37=$O$17,$D37*$P$17,IF($E37=$O$18,$D37*$P$18,IF($E37=$O$19,$D37*$P$19,IF($E37=$O$20,$D37*$P$20,IF($E37=$O$21,$D37*$P$21,IF($E37=$O$22,$D37*$P$22,IF($E37=$O$23,$D37*$P$23,IF($E37=$O$24,$D37*$P$24,IF($E37=$O$25,$D37*$P$25,IF($E37=$O$26,$D37*$P$26,IF($E37=$O$27,$D37*$P$27,IF($E37=$O$28,$D37*$P$28,IF($E37=$O$29,$D37*$P$29,IF($E37=$O$30,$D37*$P$30,IF($E37=$O$31,$D37*$P$31,IF($E37=$O$32,$D37*$P$32,IF($E37=$O$33,$D37*$P$33,IF($E37=$O$34,$D37*$P$34,IF($E37=$O$35,$D37*$P$35,n/a)))))))))))))))))))))))))))))))))))</f>
        <v>32</v>
      </c>
      <c r="H37" s="6">
        <f t="shared" si="1"/>
        <v>0</v>
      </c>
    </row>
    <row r="38" spans="1:16" x14ac:dyDescent="0.25">
      <c r="A38">
        <v>1020</v>
      </c>
      <c r="B38" t="s">
        <v>25</v>
      </c>
      <c r="C38" t="s">
        <v>197</v>
      </c>
      <c r="D38">
        <v>4</v>
      </c>
      <c r="E38">
        <v>7.8</v>
      </c>
      <c r="F38">
        <v>31.2</v>
      </c>
      <c r="G38" cm="1">
        <f t="array" ref="G38">SUMPRODUCT(IF($E38=$O$2,$D38*$P$2,IF($E38=$O$3,$D38*$P$3,IF($E38=$O$4,$D38*$P$4,IF($E38=$O$5,$D38*$P$5,IF($E38=$O$6,$D38*$P$6, IF($E38=$O$7,$D38*$P$7,IF($E38=$O$8,$D38*$P$8,IF($E38=$O$9,$D38*$P$9,IF($E38=$O$10,$D38*$P$10,IF($E38=$O$11,$D38*$P$11,IF($E38=$O$12,$D38*$P$12,IF($E38=$O$13,$D38*$P$13,IF($E38=$O$14,$D38*$P$14,IF($E38=$O$15,$D38*$P$15,IF($E38=$O$16,$D38*$P$16,IF($E38=$O$17,$D38*$P$17,IF($E38=$O$18,$D38*$P$18,IF($E38=$O$19,$D38*$P$19,IF($E38=$O$20,$D38*$P$20,IF($E38=$O$21,$D38*$P$21,IF($E38=$O$22,$D38*$P$22,IF($E38=$O$23,$D38*$P$23,IF($E38=$O$24,$D38*$P$24,IF($E38=$O$25,$D38*$P$25,IF($E38=$O$26,$D38*$P$26,IF($E38=$O$27,$D38*$P$27,IF($E38=$O$28,$D38*$P$28,IF($E38=$O$29,$D38*$P$29,IF($E38=$O$30,$D38*$P$30,IF($E38=$O$31,$D38*$P$31,IF($E38=$O$32,$D38*$P$32,IF($E38=$O$33,$D38*$P$33,IF($E38=$O$34,$D38*$P$34,IF($E38=$O$35,$D38*$P$35,n/a)))))))))))))))))))))))))))))))))))</f>
        <v>4</v>
      </c>
      <c r="H38" s="6">
        <f t="shared" si="1"/>
        <v>0</v>
      </c>
    </row>
    <row r="39" spans="1:16" x14ac:dyDescent="0.25">
      <c r="A39">
        <v>1020</v>
      </c>
      <c r="B39" t="s">
        <v>174</v>
      </c>
      <c r="C39" t="s">
        <v>197</v>
      </c>
      <c r="D39">
        <v>10</v>
      </c>
      <c r="E39">
        <v>12.8</v>
      </c>
      <c r="F39">
        <v>128</v>
      </c>
      <c r="G39" cm="1">
        <f t="array" ref="G39">SUMPRODUCT(IF($E39=$O$2,$D39*$P$2,IF($E39=$O$3,$D39*$P$3,IF($E39=$O$4,$D39*$P$4,IF($E39=$O$5,$D39*$P$5,IF($E39=$O$6,$D39*$P$6, IF($E39=$O$7,$D39*$P$7,IF($E39=$O$8,$D39*$P$8,IF($E39=$O$9,$D39*$P$9,IF($E39=$O$10,$D39*$P$10,IF($E39=$O$11,$D39*$P$11,IF($E39=$O$12,$D39*$P$12,IF($E39=$O$13,$D39*$P$13,IF($E39=$O$14,$D39*$P$14,IF($E39=$O$15,$D39*$P$15,IF($E39=$O$16,$D39*$P$16,IF($E39=$O$17,$D39*$P$17,IF($E39=$O$18,$D39*$P$18,IF($E39=$O$19,$D39*$P$19,IF($E39=$O$20,$D39*$P$20,IF($E39=$O$21,$D39*$P$21,IF($E39=$O$22,$D39*$P$22,IF($E39=$O$23,$D39*$P$23,IF($E39=$O$24,$D39*$P$24,IF($E39=$O$25,$D39*$P$25,IF($E39=$O$26,$D39*$P$26,IF($E39=$O$27,$D39*$P$27,IF($E39=$O$28,$D39*$P$28,IF($E39=$O$29,$D39*$P$29,IF($E39=$O$30,$D39*$P$30,IF($E39=$O$31,$D39*$P$31,IF($E39=$O$32,$D39*$P$32,IF($E39=$O$33,$D39*$P$33,IF($E39=$O$34,$D39*$P$34,IF($E39=$O$35,$D39*$P$35,n/a)))))))))))))))))))))))))))))))))))</f>
        <v>10</v>
      </c>
      <c r="H39" s="6">
        <f t="shared" si="1"/>
        <v>0</v>
      </c>
    </row>
    <row r="40" spans="1:16" x14ac:dyDescent="0.25">
      <c r="A40">
        <v>1020</v>
      </c>
      <c r="B40" t="s">
        <v>27</v>
      </c>
      <c r="C40" t="s">
        <v>197</v>
      </c>
      <c r="D40">
        <v>2</v>
      </c>
      <c r="E40">
        <v>7.85</v>
      </c>
      <c r="F40">
        <v>15.7</v>
      </c>
      <c r="G40" cm="1">
        <f t="array" ref="G40">SUMPRODUCT(IF($E40=$O$2,$D40*$P$2,IF($E40=$O$3,$D40*$P$3,IF($E40=$O$4,$D40*$P$4,IF($E40=$O$5,$D40*$P$5,IF($E40=$O$6,$D40*$P$6, IF($E40=$O$7,$D40*$P$7,IF($E40=$O$8,$D40*$P$8,IF($E40=$O$9,$D40*$P$9,IF($E40=$O$10,$D40*$P$10,IF($E40=$O$11,$D40*$P$11,IF($E40=$O$12,$D40*$P$12,IF($E40=$O$13,$D40*$P$13,IF($E40=$O$14,$D40*$P$14,IF($E40=$O$15,$D40*$P$15,IF($E40=$O$16,$D40*$P$16,IF($E40=$O$17,$D40*$P$17,IF($E40=$O$18,$D40*$P$18,IF($E40=$O$19,$D40*$P$19,IF($E40=$O$20,$D40*$P$20,IF($E40=$O$21,$D40*$P$21,IF($E40=$O$22,$D40*$P$22,IF($E40=$O$23,$D40*$P$23,IF($E40=$O$24,$D40*$P$24,IF($E40=$O$25,$D40*$P$25,IF($E40=$O$26,$D40*$P$26,IF($E40=$O$27,$D40*$P$27,IF($E40=$O$28,$D40*$P$28,IF($E40=$O$29,$D40*$P$29,IF($E40=$O$30,$D40*$P$30,IF($E40=$O$31,$D40*$P$31,IF($E40=$O$32,$D40*$P$32,IF($E40=$O$33,$D40*$P$33,IF($E40=$O$34,$D40*$P$34,IF($E40=$O$35,$D40*$P$35,n/a)))))))))))))))))))))))))))))))))))</f>
        <v>2</v>
      </c>
      <c r="H40" s="6">
        <f t="shared" si="1"/>
        <v>0</v>
      </c>
    </row>
    <row r="41" spans="1:16" x14ac:dyDescent="0.25">
      <c r="A41">
        <v>1020</v>
      </c>
      <c r="B41" t="s">
        <v>27</v>
      </c>
      <c r="C41" t="s">
        <v>197</v>
      </c>
      <c r="D41">
        <v>1</v>
      </c>
      <c r="E41">
        <v>15.7</v>
      </c>
      <c r="F41">
        <v>15.7</v>
      </c>
      <c r="G41" cm="1">
        <f t="array" ref="G41">SUMPRODUCT(IF($E41=$O$2,$D41*$P$2,IF($E41=$O$3,$D41*$P$3,IF($E41=$O$4,$D41*$P$4,IF($E41=$O$5,$D41*$P$5,IF($E41=$O$6,$D41*$P$6, IF($E41=$O$7,$D41*$P$7,IF($E41=$O$8,$D41*$P$8,IF($E41=$O$9,$D41*$P$9,IF($E41=$O$10,$D41*$P$10,IF($E41=$O$11,$D41*$P$11,IF($E41=$O$12,$D41*$P$12,IF($E41=$O$13,$D41*$P$13,IF($E41=$O$14,$D41*$P$14,IF($E41=$O$15,$D41*$P$15,IF($E41=$O$16,$D41*$P$16,IF($E41=$O$17,$D41*$P$17,IF($E41=$O$18,$D41*$P$18,IF($E41=$O$19,$D41*$P$19,IF($E41=$O$20,$D41*$P$20,IF($E41=$O$21,$D41*$P$21,IF($E41=$O$22,$D41*$P$22,IF($E41=$O$23,$D41*$P$23,IF($E41=$O$24,$D41*$P$24,IF($E41=$O$25,$D41*$P$25,IF($E41=$O$26,$D41*$P$26,IF($E41=$O$27,$D41*$P$27,IF($E41=$O$28,$D41*$P$28,IF($E41=$O$29,$D41*$P$29,IF($E41=$O$30,$D41*$P$30,IF($E41=$O$31,$D41*$P$31,IF($E41=$O$32,$D41*$P$32,IF($E41=$O$33,$D41*$P$33,IF($E41=$O$34,$D41*$P$34,IF($E41=$O$35,$D41*$P$35,n/a)))))))))))))))))))))))))))))))))))</f>
        <v>2</v>
      </c>
      <c r="H41" s="6">
        <f t="shared" si="1"/>
        <v>0</v>
      </c>
    </row>
    <row r="42" spans="1:16" x14ac:dyDescent="0.25">
      <c r="A42">
        <v>1020</v>
      </c>
      <c r="B42" t="s">
        <v>29</v>
      </c>
      <c r="C42" t="s">
        <v>197</v>
      </c>
      <c r="D42">
        <v>232</v>
      </c>
      <c r="E42">
        <v>7.85</v>
      </c>
      <c r="F42">
        <v>1821.2</v>
      </c>
      <c r="G42" cm="1">
        <f t="array" ref="G42">SUMPRODUCT(IF($E42=$O$2,$D42*$P$2,IF($E42=$O$3,$D42*$P$3,IF($E42=$O$4,$D42*$P$4,IF($E42=$O$5,$D42*$P$5,IF($E42=$O$6,$D42*$P$6, IF($E42=$O$7,$D42*$P$7,IF($E42=$O$8,$D42*$P$8,IF($E42=$O$9,$D42*$P$9,IF($E42=$O$10,$D42*$P$10,IF($E42=$O$11,$D42*$P$11,IF($E42=$O$12,$D42*$P$12,IF($E42=$O$13,$D42*$P$13,IF($E42=$O$14,$D42*$P$14,IF($E42=$O$15,$D42*$P$15,IF($E42=$O$16,$D42*$P$16,IF($E42=$O$17,$D42*$P$17,IF($E42=$O$18,$D42*$P$18,IF($E42=$O$19,$D42*$P$19,IF($E42=$O$20,$D42*$P$20,IF($E42=$O$21,$D42*$P$21,IF($E42=$O$22,$D42*$P$22,IF($E42=$O$23,$D42*$P$23,IF($E42=$O$24,$D42*$P$24,IF($E42=$O$25,$D42*$P$25,IF($E42=$O$26,$D42*$P$26,IF($E42=$O$27,$D42*$P$27,IF($E42=$O$28,$D42*$P$28,IF($E42=$O$29,$D42*$P$29,IF($E42=$O$30,$D42*$P$30,IF($E42=$O$31,$D42*$P$31,IF($E42=$O$32,$D42*$P$32,IF($E42=$O$33,$D42*$P$33,IF($E42=$O$34,$D42*$P$34,IF($E42=$O$35,$D42*$P$35,n/a)))))))))))))))))))))))))))))))))))</f>
        <v>232</v>
      </c>
      <c r="H42" s="6">
        <f t="shared" si="1"/>
        <v>0</v>
      </c>
    </row>
    <row r="43" spans="1:16" x14ac:dyDescent="0.25">
      <c r="A43">
        <v>1020</v>
      </c>
      <c r="B43" t="s">
        <v>31</v>
      </c>
      <c r="C43" t="s">
        <v>197</v>
      </c>
      <c r="D43">
        <v>575</v>
      </c>
      <c r="E43">
        <v>7.85</v>
      </c>
      <c r="F43">
        <v>4513.75</v>
      </c>
      <c r="G43" cm="1">
        <f t="array" ref="G43">SUMPRODUCT(IF($E43=$O$2,$D43*$P$2,IF($E43=$O$3,$D43*$P$3,IF($E43=$O$4,$D43*$P$4,IF($E43=$O$5,$D43*$P$5,IF($E43=$O$6,$D43*$P$6, IF($E43=$O$7,$D43*$P$7,IF($E43=$O$8,$D43*$P$8,IF($E43=$O$9,$D43*$P$9,IF($E43=$O$10,$D43*$P$10,IF($E43=$O$11,$D43*$P$11,IF($E43=$O$12,$D43*$P$12,IF($E43=$O$13,$D43*$P$13,IF($E43=$O$14,$D43*$P$14,IF($E43=$O$15,$D43*$P$15,IF($E43=$O$16,$D43*$P$16,IF($E43=$O$17,$D43*$P$17,IF($E43=$O$18,$D43*$P$18,IF($E43=$O$19,$D43*$P$19,IF($E43=$O$20,$D43*$P$20,IF($E43=$O$21,$D43*$P$21,IF($E43=$O$22,$D43*$P$22,IF($E43=$O$23,$D43*$P$23,IF($E43=$O$24,$D43*$P$24,IF($E43=$O$25,$D43*$P$25,IF($E43=$O$26,$D43*$P$26,IF($E43=$O$27,$D43*$P$27,IF($E43=$O$28,$D43*$P$28,IF($E43=$O$29,$D43*$P$29,IF($E43=$O$30,$D43*$P$30,IF($E43=$O$31,$D43*$P$31,IF($E43=$O$32,$D43*$P$32,IF($E43=$O$33,$D43*$P$33,IF($E43=$O$34,$D43*$P$34,IF($E43=$O$35,$D43*$P$35,n/a)))))))))))))))))))))))))))))))))))</f>
        <v>575</v>
      </c>
      <c r="H43" s="6">
        <f t="shared" si="1"/>
        <v>0</v>
      </c>
    </row>
    <row r="44" spans="1:16" x14ac:dyDescent="0.25">
      <c r="A44">
        <v>1020</v>
      </c>
      <c r="B44" t="s">
        <v>31</v>
      </c>
      <c r="C44" t="s">
        <v>197</v>
      </c>
      <c r="D44">
        <v>4</v>
      </c>
      <c r="E44">
        <v>-7.85</v>
      </c>
      <c r="F44">
        <v>-31.4</v>
      </c>
      <c r="G44" cm="1">
        <f t="array" ref="G44">SUMPRODUCT(IF($E44=$O$2,$D44*$P$2,IF($E44=$O$3,$D44*$P$3,IF($E44=$O$4,$D44*$P$4,IF($E44=$O$5,$D44*$P$5,IF($E44=$O$6,$D44*$P$6, IF($E44=$O$7,$D44*$P$7,IF($E44=$O$8,$D44*$P$8,IF($E44=$O$9,$D44*$P$9,IF($E44=$O$10,$D44*$P$10,IF($E44=$O$11,$D44*$P$11,IF($E44=$O$12,$D44*$P$12,IF($E44=$O$13,$D44*$P$13,IF($E44=$O$14,$D44*$P$14,IF($E44=$O$15,$D44*$P$15,IF($E44=$O$16,$D44*$P$16,IF($E44=$O$17,$D44*$P$17,IF($E44=$O$18,$D44*$P$18,IF($E44=$O$19,$D44*$P$19,IF($E44=$O$20,$D44*$P$20,IF($E44=$O$21,$D44*$P$21,IF($E44=$O$22,$D44*$P$22,IF($E44=$O$23,$D44*$P$23,IF($E44=$O$24,$D44*$P$24,IF($E44=$O$25,$D44*$P$25,IF($E44=$O$26,$D44*$P$26,IF($E44=$O$27,$D44*$P$27,IF($E44=$O$28,$D44*$P$28,IF($E44=$O$29,$D44*$P$29,IF($E44=$O$30,$D44*$P$30,IF($E44=$O$31,$D44*$P$31,IF($E44=$O$32,$D44*$P$32,IF($E44=$O$33,$D44*$P$33,IF($E44=$O$34,$D44*$P$34,IF($E44=$O$35,$D44*$P$35,n/a)))))))))))))))))))))))))))))))))))</f>
        <v>-4</v>
      </c>
      <c r="H44" s="6">
        <f t="shared" si="1"/>
        <v>-40</v>
      </c>
    </row>
    <row r="45" spans="1:16" x14ac:dyDescent="0.25">
      <c r="A45">
        <v>1020</v>
      </c>
      <c r="B45" t="s">
        <v>33</v>
      </c>
      <c r="C45" t="s">
        <v>197</v>
      </c>
      <c r="D45">
        <v>193</v>
      </c>
      <c r="E45">
        <v>7.85</v>
      </c>
      <c r="F45">
        <v>1515.05</v>
      </c>
      <c r="G45" cm="1">
        <f t="array" ref="G45">SUMPRODUCT(IF($E45=$O$2,$D45*$P$2,IF($E45=$O$3,$D45*$P$3,IF($E45=$O$4,$D45*$P$4,IF($E45=$O$5,$D45*$P$5,IF($E45=$O$6,$D45*$P$6, IF($E45=$O$7,$D45*$P$7,IF($E45=$O$8,$D45*$P$8,IF($E45=$O$9,$D45*$P$9,IF($E45=$O$10,$D45*$P$10,IF($E45=$O$11,$D45*$P$11,IF($E45=$O$12,$D45*$P$12,IF($E45=$O$13,$D45*$P$13,IF($E45=$O$14,$D45*$P$14,IF($E45=$O$15,$D45*$P$15,IF($E45=$O$16,$D45*$P$16,IF($E45=$O$17,$D45*$P$17,IF($E45=$O$18,$D45*$P$18,IF($E45=$O$19,$D45*$P$19,IF($E45=$O$20,$D45*$P$20,IF($E45=$O$21,$D45*$P$21,IF($E45=$O$22,$D45*$P$22,IF($E45=$O$23,$D45*$P$23,IF($E45=$O$24,$D45*$P$24,IF($E45=$O$25,$D45*$P$25,IF($E45=$O$26,$D45*$P$26,IF($E45=$O$27,$D45*$P$27,IF($E45=$O$28,$D45*$P$28,IF($E45=$O$29,$D45*$P$29,IF($E45=$O$30,$D45*$P$30,IF($E45=$O$31,$D45*$P$31,IF($E45=$O$32,$D45*$P$32,IF($E45=$O$33,$D45*$P$33,IF($E45=$O$34,$D45*$P$34,IF($E45=$O$35,$D45*$P$35,n/a)))))))))))))))))))))))))))))))))))</f>
        <v>193</v>
      </c>
      <c r="H45" s="6">
        <f t="shared" si="1"/>
        <v>0</v>
      </c>
    </row>
    <row r="46" spans="1:16" x14ac:dyDescent="0.25">
      <c r="A46">
        <v>1020</v>
      </c>
      <c r="B46" t="s">
        <v>33</v>
      </c>
      <c r="C46" t="s">
        <v>197</v>
      </c>
      <c r="D46">
        <v>3</v>
      </c>
      <c r="E46">
        <v>15.7</v>
      </c>
      <c r="F46">
        <v>47.1</v>
      </c>
      <c r="G46" cm="1">
        <f t="array" ref="G46">SUMPRODUCT(IF($E46=$O$2,$D46*$P$2,IF($E46=$O$3,$D46*$P$3,IF($E46=$O$4,$D46*$P$4,IF($E46=$O$5,$D46*$P$5,IF($E46=$O$6,$D46*$P$6, IF($E46=$O$7,$D46*$P$7,IF($E46=$O$8,$D46*$P$8,IF($E46=$O$9,$D46*$P$9,IF($E46=$O$10,$D46*$P$10,IF($E46=$O$11,$D46*$P$11,IF($E46=$O$12,$D46*$P$12,IF($E46=$O$13,$D46*$P$13,IF($E46=$O$14,$D46*$P$14,IF($E46=$O$15,$D46*$P$15,IF($E46=$O$16,$D46*$P$16,IF($E46=$O$17,$D46*$P$17,IF($E46=$O$18,$D46*$P$18,IF($E46=$O$19,$D46*$P$19,IF($E46=$O$20,$D46*$P$20,IF($E46=$O$21,$D46*$P$21,IF($E46=$O$22,$D46*$P$22,IF($E46=$O$23,$D46*$P$23,IF($E46=$O$24,$D46*$P$24,IF($E46=$O$25,$D46*$P$25,IF($E46=$O$26,$D46*$P$26,IF($E46=$O$27,$D46*$P$27,IF($E46=$O$28,$D46*$P$28,IF($E46=$O$29,$D46*$P$29,IF($E46=$O$30,$D46*$P$30,IF($E46=$O$31,$D46*$P$31,IF($E46=$O$32,$D46*$P$32,IF($E46=$O$33,$D46*$P$33,IF($E46=$O$34,$D46*$P$34,IF($E46=$O$35,$D46*$P$35,n/a)))))))))))))))))))))))))))))))))))</f>
        <v>6</v>
      </c>
      <c r="H46" s="6">
        <f t="shared" si="1"/>
        <v>0</v>
      </c>
    </row>
    <row r="47" spans="1:16" x14ac:dyDescent="0.25">
      <c r="A47">
        <v>1020</v>
      </c>
      <c r="B47" t="s">
        <v>33</v>
      </c>
      <c r="C47" t="s">
        <v>197</v>
      </c>
      <c r="D47">
        <v>1</v>
      </c>
      <c r="E47">
        <v>23.55</v>
      </c>
      <c r="F47">
        <v>23.55</v>
      </c>
      <c r="G47" cm="1">
        <f t="array" ref="G47">SUMPRODUCT(IF($E47=$O$2,$D47*$P$2,IF($E47=$O$3,$D47*$P$3,IF($E47=$O$4,$D47*$P$4,IF($E47=$O$5,$D47*$P$5,IF($E47=$O$6,$D47*$P$6, IF($E47=$O$7,$D47*$P$7,IF($E47=$O$8,$D47*$P$8,IF($E47=$O$9,$D47*$P$9,IF($E47=$O$10,$D47*$P$10,IF($E47=$O$11,$D47*$P$11,IF($E47=$O$12,$D47*$P$12,IF($E47=$O$13,$D47*$P$13,IF($E47=$O$14,$D47*$P$14,IF($E47=$O$15,$D47*$P$15,IF($E47=$O$16,$D47*$P$16,IF($E47=$O$17,$D47*$P$17,IF($E47=$O$18,$D47*$P$18,IF($E47=$O$19,$D47*$P$19,IF($E47=$O$20,$D47*$P$20,IF($E47=$O$21,$D47*$P$21,IF($E47=$O$22,$D47*$P$22,IF($E47=$O$23,$D47*$P$23,IF($E47=$O$24,$D47*$P$24,IF($E47=$O$25,$D47*$P$25,IF($E47=$O$26,$D47*$P$26,IF($E47=$O$27,$D47*$P$27,IF($E47=$O$28,$D47*$P$28,IF($E47=$O$29,$D47*$P$29,IF($E47=$O$30,$D47*$P$30,IF($E47=$O$31,$D47*$P$31,IF($E47=$O$32,$D47*$P$32,IF($E47=$O$33,$D47*$P$33,IF($E47=$O$34,$D47*$P$34,IF($E47=$O$35,$D47*$P$35,n/a)))))))))))))))))))))))))))))))))))</f>
        <v>3</v>
      </c>
      <c r="H47" s="6">
        <f t="shared" si="1"/>
        <v>0</v>
      </c>
    </row>
    <row r="48" spans="1:16" x14ac:dyDescent="0.25">
      <c r="A48">
        <v>1020</v>
      </c>
      <c r="B48" t="s">
        <v>33</v>
      </c>
      <c r="C48" t="s">
        <v>197</v>
      </c>
      <c r="D48">
        <v>2</v>
      </c>
      <c r="E48">
        <v>-7.85</v>
      </c>
      <c r="F48">
        <v>-15.7</v>
      </c>
      <c r="G48" cm="1">
        <f t="array" ref="G48">SUMPRODUCT(IF($E48=$O$2,$D48*$P$2,IF($E48=$O$3,$D48*$P$3,IF($E48=$O$4,$D48*$P$4,IF($E48=$O$5,$D48*$P$5,IF($E48=$O$6,$D48*$P$6, IF($E48=$O$7,$D48*$P$7,IF($E48=$O$8,$D48*$P$8,IF($E48=$O$9,$D48*$P$9,IF($E48=$O$10,$D48*$P$10,IF($E48=$O$11,$D48*$P$11,IF($E48=$O$12,$D48*$P$12,IF($E48=$O$13,$D48*$P$13,IF($E48=$O$14,$D48*$P$14,IF($E48=$O$15,$D48*$P$15,IF($E48=$O$16,$D48*$P$16,IF($E48=$O$17,$D48*$P$17,IF($E48=$O$18,$D48*$P$18,IF($E48=$O$19,$D48*$P$19,IF($E48=$O$20,$D48*$P$20,IF($E48=$O$21,$D48*$P$21,IF($E48=$O$22,$D48*$P$22,IF($E48=$O$23,$D48*$P$23,IF($E48=$O$24,$D48*$P$24,IF($E48=$O$25,$D48*$P$25,IF($E48=$O$26,$D48*$P$26,IF($E48=$O$27,$D48*$P$27,IF($E48=$O$28,$D48*$P$28,IF($E48=$O$29,$D48*$P$29,IF($E48=$O$30,$D48*$P$30,IF($E48=$O$31,$D48*$P$31,IF($E48=$O$32,$D48*$P$32,IF($E48=$O$33,$D48*$P$33,IF($E48=$O$34,$D48*$P$34,IF($E48=$O$35,$D48*$P$35,n/a)))))))))))))))))))))))))))))))))))</f>
        <v>-2</v>
      </c>
      <c r="H48" s="6">
        <f t="shared" si="1"/>
        <v>-20</v>
      </c>
    </row>
    <row r="49" spans="1:8" x14ac:dyDescent="0.25">
      <c r="A49">
        <v>1020</v>
      </c>
      <c r="B49" t="s">
        <v>33</v>
      </c>
      <c r="C49" t="s">
        <v>197</v>
      </c>
      <c r="D49">
        <v>1</v>
      </c>
      <c r="E49">
        <v>-15.7</v>
      </c>
      <c r="F49">
        <v>-15.7</v>
      </c>
      <c r="G49" cm="1">
        <f t="array" ref="G49">SUMPRODUCT(IF($E49=$O$2,$D49*$P$2,IF($E49=$O$3,$D49*$P$3,IF($E49=$O$4,$D49*$P$4,IF($E49=$O$5,$D49*$P$5,IF($E49=$O$6,$D49*$P$6, IF($E49=$O$7,$D49*$P$7,IF($E49=$O$8,$D49*$P$8,IF($E49=$O$9,$D49*$P$9,IF($E49=$O$10,$D49*$P$10,IF($E49=$O$11,$D49*$P$11,IF($E49=$O$12,$D49*$P$12,IF($E49=$O$13,$D49*$P$13,IF($E49=$O$14,$D49*$P$14,IF($E49=$O$15,$D49*$P$15,IF($E49=$O$16,$D49*$P$16,IF($E49=$O$17,$D49*$P$17,IF($E49=$O$18,$D49*$P$18,IF($E49=$O$19,$D49*$P$19,IF($E49=$O$20,$D49*$P$20,IF($E49=$O$21,$D49*$P$21,IF($E49=$O$22,$D49*$P$22,IF($E49=$O$23,$D49*$P$23,IF($E49=$O$24,$D49*$P$24,IF($E49=$O$25,$D49*$P$25,IF($E49=$O$26,$D49*$P$26,IF($E49=$O$27,$D49*$P$27,IF($E49=$O$28,$D49*$P$28,IF($E49=$O$29,$D49*$P$29,IF($E49=$O$30,$D49*$P$30,IF($E49=$O$31,$D49*$P$31,IF($E49=$O$32,$D49*$P$32,IF($E49=$O$33,$D49*$P$33,IF($E49=$O$34,$D49*$P$34,IF($E49=$O$35,$D49*$P$35,n/a)))))))))))))))))))))))))))))))))))</f>
        <v>-2</v>
      </c>
      <c r="H49" s="6">
        <f t="shared" si="1"/>
        <v>-20</v>
      </c>
    </row>
    <row r="50" spans="1:8" x14ac:dyDescent="0.25">
      <c r="A50">
        <v>1020</v>
      </c>
      <c r="B50" t="s">
        <v>35</v>
      </c>
      <c r="C50" t="s">
        <v>197</v>
      </c>
      <c r="D50">
        <v>474</v>
      </c>
      <c r="E50">
        <v>7.85</v>
      </c>
      <c r="F50">
        <v>3720.9</v>
      </c>
      <c r="G50" cm="1">
        <f t="array" ref="G50">SUMPRODUCT(IF($E50=$O$2,$D50*$P$2,IF($E50=$O$3,$D50*$P$3,IF($E50=$O$4,$D50*$P$4,IF($E50=$O$5,$D50*$P$5,IF($E50=$O$6,$D50*$P$6, IF($E50=$O$7,$D50*$P$7,IF($E50=$O$8,$D50*$P$8,IF($E50=$O$9,$D50*$P$9,IF($E50=$O$10,$D50*$P$10,IF($E50=$O$11,$D50*$P$11,IF($E50=$O$12,$D50*$P$12,IF($E50=$O$13,$D50*$P$13,IF($E50=$O$14,$D50*$P$14,IF($E50=$O$15,$D50*$P$15,IF($E50=$O$16,$D50*$P$16,IF($E50=$O$17,$D50*$P$17,IF($E50=$O$18,$D50*$P$18,IF($E50=$O$19,$D50*$P$19,IF($E50=$O$20,$D50*$P$20,IF($E50=$O$21,$D50*$P$21,IF($E50=$O$22,$D50*$P$22,IF($E50=$O$23,$D50*$P$23,IF($E50=$O$24,$D50*$P$24,IF($E50=$O$25,$D50*$P$25,IF($E50=$O$26,$D50*$P$26,IF($E50=$O$27,$D50*$P$27,IF($E50=$O$28,$D50*$P$28,IF($E50=$O$29,$D50*$P$29,IF($E50=$O$30,$D50*$P$30,IF($E50=$O$31,$D50*$P$31,IF($E50=$O$32,$D50*$P$32,IF($E50=$O$33,$D50*$P$33,IF($E50=$O$34,$D50*$P$34,IF($E50=$O$35,$D50*$P$35,n/a)))))))))))))))))))))))))))))))))))</f>
        <v>474</v>
      </c>
      <c r="H50" s="6">
        <f t="shared" si="1"/>
        <v>0</v>
      </c>
    </row>
    <row r="51" spans="1:8" x14ac:dyDescent="0.25">
      <c r="A51">
        <v>1020</v>
      </c>
      <c r="B51" t="s">
        <v>35</v>
      </c>
      <c r="C51" t="s">
        <v>197</v>
      </c>
      <c r="D51">
        <v>3</v>
      </c>
      <c r="E51">
        <v>-7.85</v>
      </c>
      <c r="F51">
        <v>-23.55</v>
      </c>
      <c r="G51" cm="1">
        <f t="array" ref="G51">SUMPRODUCT(IF($E51=$O$2,$D51*$P$2,IF($E51=$O$3,$D51*$P$3,IF($E51=$O$4,$D51*$P$4,IF($E51=$O$5,$D51*$P$5,IF($E51=$O$6,$D51*$P$6, IF($E51=$O$7,$D51*$P$7,IF($E51=$O$8,$D51*$P$8,IF($E51=$O$9,$D51*$P$9,IF($E51=$O$10,$D51*$P$10,IF($E51=$O$11,$D51*$P$11,IF($E51=$O$12,$D51*$P$12,IF($E51=$O$13,$D51*$P$13,IF($E51=$O$14,$D51*$P$14,IF($E51=$O$15,$D51*$P$15,IF($E51=$O$16,$D51*$P$16,IF($E51=$O$17,$D51*$P$17,IF($E51=$O$18,$D51*$P$18,IF($E51=$O$19,$D51*$P$19,IF($E51=$O$20,$D51*$P$20,IF($E51=$O$21,$D51*$P$21,IF($E51=$O$22,$D51*$P$22,IF($E51=$O$23,$D51*$P$23,IF($E51=$O$24,$D51*$P$24,IF($E51=$O$25,$D51*$P$25,IF($E51=$O$26,$D51*$P$26,IF($E51=$O$27,$D51*$P$27,IF($E51=$O$28,$D51*$P$28,IF($E51=$O$29,$D51*$P$29,IF($E51=$O$30,$D51*$P$30,IF($E51=$O$31,$D51*$P$31,IF($E51=$O$32,$D51*$P$32,IF($E51=$O$33,$D51*$P$33,IF($E51=$O$34,$D51*$P$34,IF($E51=$O$35,$D51*$P$35,n/a)))))))))))))))))))))))))))))))))))</f>
        <v>-3</v>
      </c>
      <c r="H51" s="6">
        <f t="shared" si="1"/>
        <v>-30</v>
      </c>
    </row>
    <row r="52" spans="1:8" x14ac:dyDescent="0.25">
      <c r="A52">
        <v>1020</v>
      </c>
      <c r="B52" t="s">
        <v>175</v>
      </c>
      <c r="C52" t="s">
        <v>197</v>
      </c>
      <c r="D52">
        <v>13</v>
      </c>
      <c r="E52">
        <v>5.85</v>
      </c>
      <c r="F52">
        <v>76.05</v>
      </c>
      <c r="G52" cm="1">
        <f t="array" ref="G52">SUMPRODUCT(IF($E52=$O$2,$D52*$P$2,IF($E52=$O$3,$D52*$P$3,IF($E52=$O$4,$D52*$P$4,IF($E52=$O$5,$D52*$P$5,IF($E52=$O$6,$D52*$P$6, IF($E52=$O$7,$D52*$P$7,IF($E52=$O$8,$D52*$P$8,IF($E52=$O$9,$D52*$P$9,IF($E52=$O$10,$D52*$P$10,IF($E52=$O$11,$D52*$P$11,IF($E52=$O$12,$D52*$P$12,IF($E52=$O$13,$D52*$P$13,IF($E52=$O$14,$D52*$P$14,IF($E52=$O$15,$D52*$P$15,IF($E52=$O$16,$D52*$P$16,IF($E52=$O$17,$D52*$P$17,IF($E52=$O$18,$D52*$P$18,IF($E52=$O$19,$D52*$P$19,IF($E52=$O$20,$D52*$P$20,IF($E52=$O$21,$D52*$P$21,IF($E52=$O$22,$D52*$P$22,IF($E52=$O$23,$D52*$P$23,IF($E52=$O$24,$D52*$P$24,IF($E52=$O$25,$D52*$P$25,IF($E52=$O$26,$D52*$P$26,IF($E52=$O$27,$D52*$P$27,IF($E52=$O$28,$D52*$P$28,IF($E52=$O$29,$D52*$P$29,IF($E52=$O$30,$D52*$P$30,IF($E52=$O$31,$D52*$P$31,IF($E52=$O$32,$D52*$P$32,IF($E52=$O$33,$D52*$P$33,IF($E52=$O$34,$D52*$P$34,IF($E52=$O$35,$D52*$P$35,n/a)))))))))))))))))))))))))))))))))))</f>
        <v>13</v>
      </c>
      <c r="H52" s="6">
        <f t="shared" si="1"/>
        <v>0</v>
      </c>
    </row>
    <row r="53" spans="1:8" x14ac:dyDescent="0.25">
      <c r="A53">
        <v>1020</v>
      </c>
      <c r="B53" t="s">
        <v>37</v>
      </c>
      <c r="C53" t="s">
        <v>197</v>
      </c>
      <c r="D53">
        <v>24</v>
      </c>
      <c r="E53">
        <v>7.85</v>
      </c>
      <c r="F53">
        <v>188.4</v>
      </c>
      <c r="G53" cm="1">
        <f t="array" ref="G53">SUMPRODUCT(IF($E53=$O$2,$D53*$P$2,IF($E53=$O$3,$D53*$P$3,IF($E53=$O$4,$D53*$P$4,IF($E53=$O$5,$D53*$P$5,IF($E53=$O$6,$D53*$P$6, IF($E53=$O$7,$D53*$P$7,IF($E53=$O$8,$D53*$P$8,IF($E53=$O$9,$D53*$P$9,IF($E53=$O$10,$D53*$P$10,IF($E53=$O$11,$D53*$P$11,IF($E53=$O$12,$D53*$P$12,IF($E53=$O$13,$D53*$P$13,IF($E53=$O$14,$D53*$P$14,IF($E53=$O$15,$D53*$P$15,IF($E53=$O$16,$D53*$P$16,IF($E53=$O$17,$D53*$P$17,IF($E53=$O$18,$D53*$P$18,IF($E53=$O$19,$D53*$P$19,IF($E53=$O$20,$D53*$P$20,IF($E53=$O$21,$D53*$P$21,IF($E53=$O$22,$D53*$P$22,IF($E53=$O$23,$D53*$P$23,IF($E53=$O$24,$D53*$P$24,IF($E53=$O$25,$D53*$P$25,IF($E53=$O$26,$D53*$P$26,IF($E53=$O$27,$D53*$P$27,IF($E53=$O$28,$D53*$P$28,IF($E53=$O$29,$D53*$P$29,IF($E53=$O$30,$D53*$P$30,IF($E53=$O$31,$D53*$P$31,IF($E53=$O$32,$D53*$P$32,IF($E53=$O$33,$D53*$P$33,IF($E53=$O$34,$D53*$P$34,IF($E53=$O$35,$D53*$P$35,n/a)))))))))))))))))))))))))))))))))))</f>
        <v>24</v>
      </c>
      <c r="H53" s="6">
        <f t="shared" si="1"/>
        <v>0</v>
      </c>
    </row>
    <row r="54" spans="1:8" x14ac:dyDescent="0.25">
      <c r="A54">
        <v>1020</v>
      </c>
      <c r="B54" t="s">
        <v>37</v>
      </c>
      <c r="C54" t="s">
        <v>197</v>
      </c>
      <c r="D54">
        <v>1</v>
      </c>
      <c r="E54">
        <v>15.7</v>
      </c>
      <c r="F54">
        <v>15.7</v>
      </c>
      <c r="G54" cm="1">
        <f t="array" ref="G54">SUMPRODUCT(IF($E54=$O$2,$D54*$P$2,IF($E54=$O$3,$D54*$P$3,IF($E54=$O$4,$D54*$P$4,IF($E54=$O$5,$D54*$P$5,IF($E54=$O$6,$D54*$P$6, IF($E54=$O$7,$D54*$P$7,IF($E54=$O$8,$D54*$P$8,IF($E54=$O$9,$D54*$P$9,IF($E54=$O$10,$D54*$P$10,IF($E54=$O$11,$D54*$P$11,IF($E54=$O$12,$D54*$P$12,IF($E54=$O$13,$D54*$P$13,IF($E54=$O$14,$D54*$P$14,IF($E54=$O$15,$D54*$P$15,IF($E54=$O$16,$D54*$P$16,IF($E54=$O$17,$D54*$P$17,IF($E54=$O$18,$D54*$P$18,IF($E54=$O$19,$D54*$P$19,IF($E54=$O$20,$D54*$P$20,IF($E54=$O$21,$D54*$P$21,IF($E54=$O$22,$D54*$P$22,IF($E54=$O$23,$D54*$P$23,IF($E54=$O$24,$D54*$P$24,IF($E54=$O$25,$D54*$P$25,IF($E54=$O$26,$D54*$P$26,IF($E54=$O$27,$D54*$P$27,IF($E54=$O$28,$D54*$P$28,IF($E54=$O$29,$D54*$P$29,IF($E54=$O$30,$D54*$P$30,IF($E54=$O$31,$D54*$P$31,IF($E54=$O$32,$D54*$P$32,IF($E54=$O$33,$D54*$P$33,IF($E54=$O$34,$D54*$P$34,IF($E54=$O$35,$D54*$P$35,n/a)))))))))))))))))))))))))))))))))))</f>
        <v>2</v>
      </c>
      <c r="H54" s="6">
        <f t="shared" si="1"/>
        <v>0</v>
      </c>
    </row>
    <row r="55" spans="1:8" x14ac:dyDescent="0.25">
      <c r="A55">
        <v>1020</v>
      </c>
      <c r="B55" t="s">
        <v>39</v>
      </c>
      <c r="C55" t="s">
        <v>197</v>
      </c>
      <c r="D55">
        <v>64</v>
      </c>
      <c r="E55">
        <v>7.85</v>
      </c>
      <c r="F55">
        <v>502.4</v>
      </c>
      <c r="G55" cm="1">
        <f t="array" ref="G55">SUMPRODUCT(IF($E55=$O$2,$D55*$P$2,IF($E55=$O$3,$D55*$P$3,IF($E55=$O$4,$D55*$P$4,IF($E55=$O$5,$D55*$P$5,IF($E55=$O$6,$D55*$P$6, IF($E55=$O$7,$D55*$P$7,IF($E55=$O$8,$D55*$P$8,IF($E55=$O$9,$D55*$P$9,IF($E55=$O$10,$D55*$P$10,IF($E55=$O$11,$D55*$P$11,IF($E55=$O$12,$D55*$P$12,IF($E55=$O$13,$D55*$P$13,IF($E55=$O$14,$D55*$P$14,IF($E55=$O$15,$D55*$P$15,IF($E55=$O$16,$D55*$P$16,IF($E55=$O$17,$D55*$P$17,IF($E55=$O$18,$D55*$P$18,IF($E55=$O$19,$D55*$P$19,IF($E55=$O$20,$D55*$P$20,IF($E55=$O$21,$D55*$P$21,IF($E55=$O$22,$D55*$P$22,IF($E55=$O$23,$D55*$P$23,IF($E55=$O$24,$D55*$P$24,IF($E55=$O$25,$D55*$P$25,IF($E55=$O$26,$D55*$P$26,IF($E55=$O$27,$D55*$P$27,IF($E55=$O$28,$D55*$P$28,IF($E55=$O$29,$D55*$P$29,IF($E55=$O$30,$D55*$P$30,IF($E55=$O$31,$D55*$P$31,IF($E55=$O$32,$D55*$P$32,IF($E55=$O$33,$D55*$P$33,IF($E55=$O$34,$D55*$P$34,IF($E55=$O$35,$D55*$P$35,n/a)))))))))))))))))))))))))))))))))))</f>
        <v>64</v>
      </c>
      <c r="H55" s="6">
        <f t="shared" si="1"/>
        <v>0</v>
      </c>
    </row>
    <row r="56" spans="1:8" x14ac:dyDescent="0.25">
      <c r="A56">
        <v>1020</v>
      </c>
      <c r="B56" t="s">
        <v>176</v>
      </c>
      <c r="C56" t="s">
        <v>197</v>
      </c>
      <c r="D56">
        <v>6</v>
      </c>
      <c r="E56">
        <v>5.85</v>
      </c>
      <c r="F56">
        <v>35.1</v>
      </c>
      <c r="G56" cm="1">
        <f t="array" ref="G56">SUMPRODUCT(IF($E56=$O$2,$D56*$P$2,IF($E56=$O$3,$D56*$P$3,IF($E56=$O$4,$D56*$P$4,IF($E56=$O$5,$D56*$P$5,IF($E56=$O$6,$D56*$P$6, IF($E56=$O$7,$D56*$P$7,IF($E56=$O$8,$D56*$P$8,IF($E56=$O$9,$D56*$P$9,IF($E56=$O$10,$D56*$P$10,IF($E56=$O$11,$D56*$P$11,IF($E56=$O$12,$D56*$P$12,IF($E56=$O$13,$D56*$P$13,IF($E56=$O$14,$D56*$P$14,IF($E56=$O$15,$D56*$P$15,IF($E56=$O$16,$D56*$P$16,IF($E56=$O$17,$D56*$P$17,IF($E56=$O$18,$D56*$P$18,IF($E56=$O$19,$D56*$P$19,IF($E56=$O$20,$D56*$P$20,IF($E56=$O$21,$D56*$P$21,IF($E56=$O$22,$D56*$P$22,IF($E56=$O$23,$D56*$P$23,IF($E56=$O$24,$D56*$P$24,IF($E56=$O$25,$D56*$P$25,IF($E56=$O$26,$D56*$P$26,IF($E56=$O$27,$D56*$P$27,IF($E56=$O$28,$D56*$P$28,IF($E56=$O$29,$D56*$P$29,IF($E56=$O$30,$D56*$P$30,IF($E56=$O$31,$D56*$P$31,IF($E56=$O$32,$D56*$P$32,IF($E56=$O$33,$D56*$P$33,IF($E56=$O$34,$D56*$P$34,IF($E56=$O$35,$D56*$P$35,n/a)))))))))))))))))))))))))))))))))))</f>
        <v>6</v>
      </c>
      <c r="H56" s="6">
        <f t="shared" si="1"/>
        <v>0</v>
      </c>
    </row>
    <row r="57" spans="1:8" x14ac:dyDescent="0.25">
      <c r="A57">
        <v>1020</v>
      </c>
      <c r="B57" t="s">
        <v>41</v>
      </c>
      <c r="C57" t="s">
        <v>197</v>
      </c>
      <c r="D57">
        <v>6</v>
      </c>
      <c r="E57">
        <v>7.85</v>
      </c>
      <c r="F57">
        <v>47.1</v>
      </c>
      <c r="G57" cm="1">
        <f t="array" ref="G57">SUMPRODUCT(IF($E57=$O$2,$D57*$P$2,IF($E57=$O$3,$D57*$P$3,IF($E57=$O$4,$D57*$P$4,IF($E57=$O$5,$D57*$P$5,IF($E57=$O$6,$D57*$P$6, IF($E57=$O$7,$D57*$P$7,IF($E57=$O$8,$D57*$P$8,IF($E57=$O$9,$D57*$P$9,IF($E57=$O$10,$D57*$P$10,IF($E57=$O$11,$D57*$P$11,IF($E57=$O$12,$D57*$P$12,IF($E57=$O$13,$D57*$P$13,IF($E57=$O$14,$D57*$P$14,IF($E57=$O$15,$D57*$P$15,IF($E57=$O$16,$D57*$P$16,IF($E57=$O$17,$D57*$P$17,IF($E57=$O$18,$D57*$P$18,IF($E57=$O$19,$D57*$P$19,IF($E57=$O$20,$D57*$P$20,IF($E57=$O$21,$D57*$P$21,IF($E57=$O$22,$D57*$P$22,IF($E57=$O$23,$D57*$P$23,IF($E57=$O$24,$D57*$P$24,IF($E57=$O$25,$D57*$P$25,IF($E57=$O$26,$D57*$P$26,IF($E57=$O$27,$D57*$P$27,IF($E57=$O$28,$D57*$P$28,IF($E57=$O$29,$D57*$P$29,IF($E57=$O$30,$D57*$P$30,IF($E57=$O$31,$D57*$P$31,IF($E57=$O$32,$D57*$P$32,IF($E57=$O$33,$D57*$P$33,IF($E57=$O$34,$D57*$P$34,IF($E57=$O$35,$D57*$P$35,n/a)))))))))))))))))))))))))))))))))))</f>
        <v>6</v>
      </c>
      <c r="H57" s="6">
        <f t="shared" si="1"/>
        <v>0</v>
      </c>
    </row>
    <row r="58" spans="1:8" x14ac:dyDescent="0.25">
      <c r="A58">
        <v>1020</v>
      </c>
      <c r="B58" t="s">
        <v>177</v>
      </c>
      <c r="C58" t="s">
        <v>197</v>
      </c>
      <c r="D58">
        <v>263</v>
      </c>
      <c r="E58">
        <v>4.8499999999999996</v>
      </c>
      <c r="F58">
        <v>1275.55</v>
      </c>
      <c r="G58" cm="1">
        <f t="array" ref="G58">SUMPRODUCT(IF($E58=$O$2,$D58*$P$2,IF($E58=$O$3,$D58*$P$3,IF($E58=$O$4,$D58*$P$4,IF($E58=$O$5,$D58*$P$5,IF($E58=$O$6,$D58*$P$6, IF($E58=$O$7,$D58*$P$7,IF($E58=$O$8,$D58*$P$8,IF($E58=$O$9,$D58*$P$9,IF($E58=$O$10,$D58*$P$10,IF($E58=$O$11,$D58*$P$11,IF($E58=$O$12,$D58*$P$12,IF($E58=$O$13,$D58*$P$13,IF($E58=$O$14,$D58*$P$14,IF($E58=$O$15,$D58*$P$15,IF($E58=$O$16,$D58*$P$16,IF($E58=$O$17,$D58*$P$17,IF($E58=$O$18,$D58*$P$18,IF($E58=$O$19,$D58*$P$19,IF($E58=$O$20,$D58*$P$20,IF($E58=$O$21,$D58*$P$21,IF($E58=$O$22,$D58*$P$22,IF($E58=$O$23,$D58*$P$23,IF($E58=$O$24,$D58*$P$24,IF($E58=$O$25,$D58*$P$25,IF($E58=$O$26,$D58*$P$26,IF($E58=$O$27,$D58*$P$27,IF($E58=$O$28,$D58*$P$28,IF($E58=$O$29,$D58*$P$29,IF($E58=$O$30,$D58*$P$30,IF($E58=$O$31,$D58*$P$31,IF($E58=$O$32,$D58*$P$32,IF($E58=$O$33,$D58*$P$33,IF($E58=$O$34,$D58*$P$34,IF($E58=$O$35,$D58*$P$35,n/a)))))))))))))))))))))))))))))))))))</f>
        <v>263</v>
      </c>
      <c r="H58" s="6">
        <f t="shared" si="1"/>
        <v>0</v>
      </c>
    </row>
    <row r="59" spans="1:8" x14ac:dyDescent="0.25">
      <c r="A59">
        <v>1020</v>
      </c>
      <c r="B59" t="s">
        <v>43</v>
      </c>
      <c r="C59" t="s">
        <v>197</v>
      </c>
      <c r="D59">
        <v>163</v>
      </c>
      <c r="E59">
        <v>7.85</v>
      </c>
      <c r="F59">
        <v>1279.55</v>
      </c>
      <c r="G59" cm="1">
        <f t="array" ref="G59">SUMPRODUCT(IF($E59=$O$2,$D59*$P$2,IF($E59=$O$3,$D59*$P$3,IF($E59=$O$4,$D59*$P$4,IF($E59=$O$5,$D59*$P$5,IF($E59=$O$6,$D59*$P$6, IF($E59=$O$7,$D59*$P$7,IF($E59=$O$8,$D59*$P$8,IF($E59=$O$9,$D59*$P$9,IF($E59=$O$10,$D59*$P$10,IF($E59=$O$11,$D59*$P$11,IF($E59=$O$12,$D59*$P$12,IF($E59=$O$13,$D59*$P$13,IF($E59=$O$14,$D59*$P$14,IF($E59=$O$15,$D59*$P$15,IF($E59=$O$16,$D59*$P$16,IF($E59=$O$17,$D59*$P$17,IF($E59=$O$18,$D59*$P$18,IF($E59=$O$19,$D59*$P$19,IF($E59=$O$20,$D59*$P$20,IF($E59=$O$21,$D59*$P$21,IF($E59=$O$22,$D59*$P$22,IF($E59=$O$23,$D59*$P$23,IF($E59=$O$24,$D59*$P$24,IF($E59=$O$25,$D59*$P$25,IF($E59=$O$26,$D59*$P$26,IF($E59=$O$27,$D59*$P$27,IF($E59=$O$28,$D59*$P$28,IF($E59=$O$29,$D59*$P$29,IF($E59=$O$30,$D59*$P$30,IF($E59=$O$31,$D59*$P$31,IF($E59=$O$32,$D59*$P$32,IF($E59=$O$33,$D59*$P$33,IF($E59=$O$34,$D59*$P$34,IF($E59=$O$35,$D59*$P$35,n/a)))))))))))))))))))))))))))))))))))</f>
        <v>163</v>
      </c>
      <c r="H59" s="6">
        <f t="shared" si="1"/>
        <v>0</v>
      </c>
    </row>
    <row r="60" spans="1:8" x14ac:dyDescent="0.25">
      <c r="A60">
        <v>1020</v>
      </c>
      <c r="B60" t="s">
        <v>177</v>
      </c>
      <c r="C60" t="s">
        <v>197</v>
      </c>
      <c r="D60">
        <v>1</v>
      </c>
      <c r="E60">
        <v>-4.8499999999999996</v>
      </c>
      <c r="F60">
        <v>-4.8499999999999996</v>
      </c>
      <c r="G60" cm="1">
        <f t="array" ref="G60">SUMPRODUCT(IF($E60=$O$2,$D60*$P$2,IF($E60=$O$3,$D60*$P$3,IF($E60=$O$4,$D60*$P$4,IF($E60=$O$5,$D60*$P$5,IF($E60=$O$6,$D60*$P$6, IF($E60=$O$7,$D60*$P$7,IF($E60=$O$8,$D60*$P$8,IF($E60=$O$9,$D60*$P$9,IF($E60=$O$10,$D60*$P$10,IF($E60=$O$11,$D60*$P$11,IF($E60=$O$12,$D60*$P$12,IF($E60=$O$13,$D60*$P$13,IF($E60=$O$14,$D60*$P$14,IF($E60=$O$15,$D60*$P$15,IF($E60=$O$16,$D60*$P$16,IF($E60=$O$17,$D60*$P$17,IF($E60=$O$18,$D60*$P$18,IF($E60=$O$19,$D60*$P$19,IF($E60=$O$20,$D60*$P$20,IF($E60=$O$21,$D60*$P$21,IF($E60=$O$22,$D60*$P$22,IF($E60=$O$23,$D60*$P$23,IF($E60=$O$24,$D60*$P$24,IF($E60=$O$25,$D60*$P$25,IF($E60=$O$26,$D60*$P$26,IF($E60=$O$27,$D60*$P$27,IF($E60=$O$28,$D60*$P$28,IF($E60=$O$29,$D60*$P$29,IF($E60=$O$30,$D60*$P$30,IF($E60=$O$31,$D60*$P$31,IF($E60=$O$32,$D60*$P$32,IF($E60=$O$33,$D60*$P$33,IF($E60=$O$34,$D60*$P$34,IF($E60=$O$35,$D60*$P$35,n/a)))))))))))))))))))))))))))))))))))</f>
        <v>-1</v>
      </c>
      <c r="H60" s="6">
        <f t="shared" ref="H60:H80" si="2">IF($E60&lt;0,$G60*10,0)</f>
        <v>-10</v>
      </c>
    </row>
    <row r="61" spans="1:8" x14ac:dyDescent="0.25">
      <c r="A61">
        <v>1020</v>
      </c>
      <c r="B61" t="s">
        <v>43</v>
      </c>
      <c r="C61" t="s">
        <v>197</v>
      </c>
      <c r="D61">
        <v>1</v>
      </c>
      <c r="E61">
        <v>-7.85</v>
      </c>
      <c r="F61">
        <v>-7.85</v>
      </c>
      <c r="G61" cm="1">
        <f t="array" ref="G61">SUMPRODUCT(IF($E61=$O$2,$D61*$P$2,IF($E61=$O$3,$D61*$P$3,IF($E61=$O$4,$D61*$P$4,IF($E61=$O$5,$D61*$P$5,IF($E61=$O$6,$D61*$P$6, IF($E61=$O$7,$D61*$P$7,IF($E61=$O$8,$D61*$P$8,IF($E61=$O$9,$D61*$P$9,IF($E61=$O$10,$D61*$P$10,IF($E61=$O$11,$D61*$P$11,IF($E61=$O$12,$D61*$P$12,IF($E61=$O$13,$D61*$P$13,IF($E61=$O$14,$D61*$P$14,IF($E61=$O$15,$D61*$P$15,IF($E61=$O$16,$D61*$P$16,IF($E61=$O$17,$D61*$P$17,IF($E61=$O$18,$D61*$P$18,IF($E61=$O$19,$D61*$P$19,IF($E61=$O$20,$D61*$P$20,IF($E61=$O$21,$D61*$P$21,IF($E61=$O$22,$D61*$P$22,IF($E61=$O$23,$D61*$P$23,IF($E61=$O$24,$D61*$P$24,IF($E61=$O$25,$D61*$P$25,IF($E61=$O$26,$D61*$P$26,IF($E61=$O$27,$D61*$P$27,IF($E61=$O$28,$D61*$P$28,IF($E61=$O$29,$D61*$P$29,IF($E61=$O$30,$D61*$P$30,IF($E61=$O$31,$D61*$P$31,IF($E61=$O$32,$D61*$P$32,IF($E61=$O$33,$D61*$P$33,IF($E61=$O$34,$D61*$P$34,IF($E61=$O$35,$D61*$P$35,n/a)))))))))))))))))))))))))))))))))))</f>
        <v>-1</v>
      </c>
      <c r="H61" s="6">
        <f t="shared" si="2"/>
        <v>-10</v>
      </c>
    </row>
    <row r="62" spans="1:8" x14ac:dyDescent="0.25">
      <c r="A62">
        <v>1020</v>
      </c>
      <c r="B62" t="s">
        <v>45</v>
      </c>
      <c r="C62" t="s">
        <v>197</v>
      </c>
      <c r="D62">
        <v>277</v>
      </c>
      <c r="E62">
        <v>7.85</v>
      </c>
      <c r="F62">
        <v>2174.4499999999998</v>
      </c>
      <c r="G62" cm="1">
        <f t="array" ref="G62">SUMPRODUCT(IF($E62=$O$2,$D62*$P$2,IF($E62=$O$3,$D62*$P$3,IF($E62=$O$4,$D62*$P$4,IF($E62=$O$5,$D62*$P$5,IF($E62=$O$6,$D62*$P$6, IF($E62=$O$7,$D62*$P$7,IF($E62=$O$8,$D62*$P$8,IF($E62=$O$9,$D62*$P$9,IF($E62=$O$10,$D62*$P$10,IF($E62=$O$11,$D62*$P$11,IF($E62=$O$12,$D62*$P$12,IF($E62=$O$13,$D62*$P$13,IF($E62=$O$14,$D62*$P$14,IF($E62=$O$15,$D62*$P$15,IF($E62=$O$16,$D62*$P$16,IF($E62=$O$17,$D62*$P$17,IF($E62=$O$18,$D62*$P$18,IF($E62=$O$19,$D62*$P$19,IF($E62=$O$20,$D62*$P$20,IF($E62=$O$21,$D62*$P$21,IF($E62=$O$22,$D62*$P$22,IF($E62=$O$23,$D62*$P$23,IF($E62=$O$24,$D62*$P$24,IF($E62=$O$25,$D62*$P$25,IF($E62=$O$26,$D62*$P$26,IF($E62=$O$27,$D62*$P$27,IF($E62=$O$28,$D62*$P$28,IF($E62=$O$29,$D62*$P$29,IF($E62=$O$30,$D62*$P$30,IF($E62=$O$31,$D62*$P$31,IF($E62=$O$32,$D62*$P$32,IF($E62=$O$33,$D62*$P$33,IF($E62=$O$34,$D62*$P$34,IF($E62=$O$35,$D62*$P$35,n/a)))))))))))))))))))))))))))))))))))</f>
        <v>277</v>
      </c>
      <c r="H62" s="6">
        <f t="shared" si="2"/>
        <v>0</v>
      </c>
    </row>
    <row r="63" spans="1:8" x14ac:dyDescent="0.25">
      <c r="A63">
        <v>1020</v>
      </c>
      <c r="B63" t="s">
        <v>45</v>
      </c>
      <c r="C63" t="s">
        <v>197</v>
      </c>
      <c r="D63">
        <v>6</v>
      </c>
      <c r="E63">
        <v>-7.85</v>
      </c>
      <c r="F63">
        <v>-47.1</v>
      </c>
      <c r="G63" cm="1">
        <f t="array" ref="G63">SUMPRODUCT(IF($E63=$O$2,$D63*$P$2,IF($E63=$O$3,$D63*$P$3,IF($E63=$O$4,$D63*$P$4,IF($E63=$O$5,$D63*$P$5,IF($E63=$O$6,$D63*$P$6, IF($E63=$O$7,$D63*$P$7,IF($E63=$O$8,$D63*$P$8,IF($E63=$O$9,$D63*$P$9,IF($E63=$O$10,$D63*$P$10,IF($E63=$O$11,$D63*$P$11,IF($E63=$O$12,$D63*$P$12,IF($E63=$O$13,$D63*$P$13,IF($E63=$O$14,$D63*$P$14,IF($E63=$O$15,$D63*$P$15,IF($E63=$O$16,$D63*$P$16,IF($E63=$O$17,$D63*$P$17,IF($E63=$O$18,$D63*$P$18,IF($E63=$O$19,$D63*$P$19,IF($E63=$O$20,$D63*$P$20,IF($E63=$O$21,$D63*$P$21,IF($E63=$O$22,$D63*$P$22,IF($E63=$O$23,$D63*$P$23,IF($E63=$O$24,$D63*$P$24,IF($E63=$O$25,$D63*$P$25,IF($E63=$O$26,$D63*$P$26,IF($E63=$O$27,$D63*$P$27,IF($E63=$O$28,$D63*$P$28,IF($E63=$O$29,$D63*$P$29,IF($E63=$O$30,$D63*$P$30,IF($E63=$O$31,$D63*$P$31,IF($E63=$O$32,$D63*$P$32,IF($E63=$O$33,$D63*$P$33,IF($E63=$O$34,$D63*$P$34,IF($E63=$O$35,$D63*$P$35,n/a)))))))))))))))))))))))))))))))))))</f>
        <v>-6</v>
      </c>
      <c r="H63" s="6">
        <f t="shared" si="2"/>
        <v>-60</v>
      </c>
    </row>
    <row r="64" spans="1:8" x14ac:dyDescent="0.25">
      <c r="A64">
        <v>1020</v>
      </c>
      <c r="B64" t="s">
        <v>47</v>
      </c>
      <c r="C64" t="s">
        <v>197</v>
      </c>
      <c r="D64">
        <v>136</v>
      </c>
      <c r="E64">
        <v>7.85</v>
      </c>
      <c r="F64">
        <v>1067.5999999999999</v>
      </c>
      <c r="G64" cm="1">
        <f t="array" ref="G64">SUMPRODUCT(IF($E64=$O$2,$D64*$P$2,IF($E64=$O$3,$D64*$P$3,IF($E64=$O$4,$D64*$P$4,IF($E64=$O$5,$D64*$P$5,IF($E64=$O$6,$D64*$P$6, IF($E64=$O$7,$D64*$P$7,IF($E64=$O$8,$D64*$P$8,IF($E64=$O$9,$D64*$P$9,IF($E64=$O$10,$D64*$P$10,IF($E64=$O$11,$D64*$P$11,IF($E64=$O$12,$D64*$P$12,IF($E64=$O$13,$D64*$P$13,IF($E64=$O$14,$D64*$P$14,IF($E64=$O$15,$D64*$P$15,IF($E64=$O$16,$D64*$P$16,IF($E64=$O$17,$D64*$P$17,IF($E64=$O$18,$D64*$P$18,IF($E64=$O$19,$D64*$P$19,IF($E64=$O$20,$D64*$P$20,IF($E64=$O$21,$D64*$P$21,IF($E64=$O$22,$D64*$P$22,IF($E64=$O$23,$D64*$P$23,IF($E64=$O$24,$D64*$P$24,IF($E64=$O$25,$D64*$P$25,IF($E64=$O$26,$D64*$P$26,IF($E64=$O$27,$D64*$P$27,IF($E64=$O$28,$D64*$P$28,IF($E64=$O$29,$D64*$P$29,IF($E64=$O$30,$D64*$P$30,IF($E64=$O$31,$D64*$P$31,IF($E64=$O$32,$D64*$P$32,IF($E64=$O$33,$D64*$P$33,IF($E64=$O$34,$D64*$P$34,IF($E64=$O$35,$D64*$P$35,n/a)))))))))))))))))))))))))))))))))))</f>
        <v>136</v>
      </c>
      <c r="H64" s="6">
        <f t="shared" si="2"/>
        <v>0</v>
      </c>
    </row>
    <row r="65" spans="1:8" x14ac:dyDescent="0.25">
      <c r="A65">
        <v>1020</v>
      </c>
      <c r="B65" t="s">
        <v>47</v>
      </c>
      <c r="C65" t="s">
        <v>197</v>
      </c>
      <c r="D65">
        <v>2</v>
      </c>
      <c r="E65">
        <v>-7.85</v>
      </c>
      <c r="F65">
        <v>-15.7</v>
      </c>
      <c r="G65" cm="1">
        <f t="array" ref="G65">SUMPRODUCT(IF($E65=$O$2,$D65*$P$2,IF($E65=$O$3,$D65*$P$3,IF($E65=$O$4,$D65*$P$4,IF($E65=$O$5,$D65*$P$5,IF($E65=$O$6,$D65*$P$6, IF($E65=$O$7,$D65*$P$7,IF($E65=$O$8,$D65*$P$8,IF($E65=$O$9,$D65*$P$9,IF($E65=$O$10,$D65*$P$10,IF($E65=$O$11,$D65*$P$11,IF($E65=$O$12,$D65*$P$12,IF($E65=$O$13,$D65*$P$13,IF($E65=$O$14,$D65*$P$14,IF($E65=$O$15,$D65*$P$15,IF($E65=$O$16,$D65*$P$16,IF($E65=$O$17,$D65*$P$17,IF($E65=$O$18,$D65*$P$18,IF($E65=$O$19,$D65*$P$19,IF($E65=$O$20,$D65*$P$20,IF($E65=$O$21,$D65*$P$21,IF($E65=$O$22,$D65*$P$22,IF($E65=$O$23,$D65*$P$23,IF($E65=$O$24,$D65*$P$24,IF($E65=$O$25,$D65*$P$25,IF($E65=$O$26,$D65*$P$26,IF($E65=$O$27,$D65*$P$27,IF($E65=$O$28,$D65*$P$28,IF($E65=$O$29,$D65*$P$29,IF($E65=$O$30,$D65*$P$30,IF($E65=$O$31,$D65*$P$31,IF($E65=$O$32,$D65*$P$32,IF($E65=$O$33,$D65*$P$33,IF($E65=$O$34,$D65*$P$34,IF($E65=$O$35,$D65*$P$35,n/a)))))))))))))))))))))))))))))))))))</f>
        <v>-2</v>
      </c>
      <c r="H65" s="6">
        <f t="shared" si="2"/>
        <v>-20</v>
      </c>
    </row>
    <row r="66" spans="1:8" x14ac:dyDescent="0.25">
      <c r="A66">
        <v>1020</v>
      </c>
      <c r="B66" t="s">
        <v>49</v>
      </c>
      <c r="C66" t="s">
        <v>197</v>
      </c>
      <c r="D66">
        <v>177</v>
      </c>
      <c r="E66">
        <v>7.85</v>
      </c>
      <c r="F66">
        <v>1389.45</v>
      </c>
      <c r="G66" cm="1">
        <f t="array" ref="G66">SUMPRODUCT(IF($E66=$O$2,$D66*$P$2,IF($E66=$O$3,$D66*$P$3,IF($E66=$O$4,$D66*$P$4,IF($E66=$O$5,$D66*$P$5,IF($E66=$O$6,$D66*$P$6, IF($E66=$O$7,$D66*$P$7,IF($E66=$O$8,$D66*$P$8,IF($E66=$O$9,$D66*$P$9,IF($E66=$O$10,$D66*$P$10,IF($E66=$O$11,$D66*$P$11,IF($E66=$O$12,$D66*$P$12,IF($E66=$O$13,$D66*$P$13,IF($E66=$O$14,$D66*$P$14,IF($E66=$O$15,$D66*$P$15,IF($E66=$O$16,$D66*$P$16,IF($E66=$O$17,$D66*$P$17,IF($E66=$O$18,$D66*$P$18,IF($E66=$O$19,$D66*$P$19,IF($E66=$O$20,$D66*$P$20,IF($E66=$O$21,$D66*$P$21,IF($E66=$O$22,$D66*$P$22,IF($E66=$O$23,$D66*$P$23,IF($E66=$O$24,$D66*$P$24,IF($E66=$O$25,$D66*$P$25,IF($E66=$O$26,$D66*$P$26,IF($E66=$O$27,$D66*$P$27,IF($E66=$O$28,$D66*$P$28,IF($E66=$O$29,$D66*$P$29,IF($E66=$O$30,$D66*$P$30,IF($E66=$O$31,$D66*$P$31,IF($E66=$O$32,$D66*$P$32,IF($E66=$O$33,$D66*$P$33,IF($E66=$O$34,$D66*$P$34,IF($E66=$O$35,$D66*$P$35,n/a)))))))))))))))))))))))))))))))))))</f>
        <v>177</v>
      </c>
      <c r="H66" s="6">
        <f t="shared" si="2"/>
        <v>0</v>
      </c>
    </row>
    <row r="67" spans="1:8" x14ac:dyDescent="0.25">
      <c r="A67">
        <v>1020</v>
      </c>
      <c r="B67" t="s">
        <v>51</v>
      </c>
      <c r="C67" t="s">
        <v>197</v>
      </c>
      <c r="D67">
        <v>246</v>
      </c>
      <c r="E67">
        <v>7.85</v>
      </c>
      <c r="F67">
        <v>1931.1</v>
      </c>
      <c r="G67" cm="1">
        <f t="array" ref="G67">SUMPRODUCT(IF($E67=$O$2,$D67*$P$2,IF($E67=$O$3,$D67*$P$3,IF($E67=$O$4,$D67*$P$4,IF($E67=$O$5,$D67*$P$5,IF($E67=$O$6,$D67*$P$6, IF($E67=$O$7,$D67*$P$7,IF($E67=$O$8,$D67*$P$8,IF($E67=$O$9,$D67*$P$9,IF($E67=$O$10,$D67*$P$10,IF($E67=$O$11,$D67*$P$11,IF($E67=$O$12,$D67*$P$12,IF($E67=$O$13,$D67*$P$13,IF($E67=$O$14,$D67*$P$14,IF($E67=$O$15,$D67*$P$15,IF($E67=$O$16,$D67*$P$16,IF($E67=$O$17,$D67*$P$17,IF($E67=$O$18,$D67*$P$18,IF($E67=$O$19,$D67*$P$19,IF($E67=$O$20,$D67*$P$20,IF($E67=$O$21,$D67*$P$21,IF($E67=$O$22,$D67*$P$22,IF($E67=$O$23,$D67*$P$23,IF($E67=$O$24,$D67*$P$24,IF($E67=$O$25,$D67*$P$25,IF($E67=$O$26,$D67*$P$26,IF($E67=$O$27,$D67*$P$27,IF($E67=$O$28,$D67*$P$28,IF($E67=$O$29,$D67*$P$29,IF($E67=$O$30,$D67*$P$30,IF($E67=$O$31,$D67*$P$31,IF($E67=$O$32,$D67*$P$32,IF($E67=$O$33,$D67*$P$33,IF($E67=$O$34,$D67*$P$34,IF($E67=$O$35,$D67*$P$35,n/a)))))))))))))))))))))))))))))))))))</f>
        <v>246</v>
      </c>
      <c r="H67" s="6">
        <f t="shared" si="2"/>
        <v>0</v>
      </c>
    </row>
    <row r="68" spans="1:8" x14ac:dyDescent="0.25">
      <c r="A68">
        <v>1020</v>
      </c>
      <c r="B68" t="s">
        <v>51</v>
      </c>
      <c r="C68" t="s">
        <v>197</v>
      </c>
      <c r="D68">
        <v>2</v>
      </c>
      <c r="E68">
        <v>15.7</v>
      </c>
      <c r="F68">
        <v>31.4</v>
      </c>
      <c r="G68" cm="1">
        <f t="array" ref="G68">SUMPRODUCT(IF($E68=$O$2,$D68*$P$2,IF($E68=$O$3,$D68*$P$3,IF($E68=$O$4,$D68*$P$4,IF($E68=$O$5,$D68*$P$5,IF($E68=$O$6,$D68*$P$6, IF($E68=$O$7,$D68*$P$7,IF($E68=$O$8,$D68*$P$8,IF($E68=$O$9,$D68*$P$9,IF($E68=$O$10,$D68*$P$10,IF($E68=$O$11,$D68*$P$11,IF($E68=$O$12,$D68*$P$12,IF($E68=$O$13,$D68*$P$13,IF($E68=$O$14,$D68*$P$14,IF($E68=$O$15,$D68*$P$15,IF($E68=$O$16,$D68*$P$16,IF($E68=$O$17,$D68*$P$17,IF($E68=$O$18,$D68*$P$18,IF($E68=$O$19,$D68*$P$19,IF($E68=$O$20,$D68*$P$20,IF($E68=$O$21,$D68*$P$21,IF($E68=$O$22,$D68*$P$22,IF($E68=$O$23,$D68*$P$23,IF($E68=$O$24,$D68*$P$24,IF($E68=$O$25,$D68*$P$25,IF($E68=$O$26,$D68*$P$26,IF($E68=$O$27,$D68*$P$27,IF($E68=$O$28,$D68*$P$28,IF($E68=$O$29,$D68*$P$29,IF($E68=$O$30,$D68*$P$30,IF($E68=$O$31,$D68*$P$31,IF($E68=$O$32,$D68*$P$32,IF($E68=$O$33,$D68*$P$33,IF($E68=$O$34,$D68*$P$34,IF($E68=$O$35,$D68*$P$35,n/a)))))))))))))))))))))))))))))))))))</f>
        <v>4</v>
      </c>
      <c r="H68" s="6">
        <f t="shared" si="2"/>
        <v>0</v>
      </c>
    </row>
    <row r="69" spans="1:8" x14ac:dyDescent="0.25">
      <c r="A69">
        <v>1020</v>
      </c>
      <c r="B69" t="s">
        <v>51</v>
      </c>
      <c r="C69" t="s">
        <v>197</v>
      </c>
      <c r="D69">
        <v>2</v>
      </c>
      <c r="E69">
        <v>-7.85</v>
      </c>
      <c r="F69">
        <v>-15.7</v>
      </c>
      <c r="G69" cm="1">
        <f t="array" ref="G69">SUMPRODUCT(IF($E69=$O$2,$D69*$P$2,IF($E69=$O$3,$D69*$P$3,IF($E69=$O$4,$D69*$P$4,IF($E69=$O$5,$D69*$P$5,IF($E69=$O$6,$D69*$P$6, IF($E69=$O$7,$D69*$P$7,IF($E69=$O$8,$D69*$P$8,IF($E69=$O$9,$D69*$P$9,IF($E69=$O$10,$D69*$P$10,IF($E69=$O$11,$D69*$P$11,IF($E69=$O$12,$D69*$P$12,IF($E69=$O$13,$D69*$P$13,IF($E69=$O$14,$D69*$P$14,IF($E69=$O$15,$D69*$P$15,IF($E69=$O$16,$D69*$P$16,IF($E69=$O$17,$D69*$P$17,IF($E69=$O$18,$D69*$P$18,IF($E69=$O$19,$D69*$P$19,IF($E69=$O$20,$D69*$P$20,IF($E69=$O$21,$D69*$P$21,IF($E69=$O$22,$D69*$P$22,IF($E69=$O$23,$D69*$P$23,IF($E69=$O$24,$D69*$P$24,IF($E69=$O$25,$D69*$P$25,IF($E69=$O$26,$D69*$P$26,IF($E69=$O$27,$D69*$P$27,IF($E69=$O$28,$D69*$P$28,IF($E69=$O$29,$D69*$P$29,IF($E69=$O$30,$D69*$P$30,IF($E69=$O$31,$D69*$P$31,IF($E69=$O$32,$D69*$P$32,IF($E69=$O$33,$D69*$P$33,IF($E69=$O$34,$D69*$P$34,IF($E69=$O$35,$D69*$P$35,n/a)))))))))))))))))))))))))))))))))))</f>
        <v>-2</v>
      </c>
      <c r="H69" s="6">
        <f t="shared" si="2"/>
        <v>-20</v>
      </c>
    </row>
    <row r="70" spans="1:8" x14ac:dyDescent="0.25">
      <c r="A70">
        <v>1020</v>
      </c>
      <c r="B70" t="s">
        <v>53</v>
      </c>
      <c r="C70" t="s">
        <v>197</v>
      </c>
      <c r="D70">
        <v>288</v>
      </c>
      <c r="E70">
        <v>7.85</v>
      </c>
      <c r="F70">
        <v>2260.8000000000002</v>
      </c>
      <c r="G70" cm="1">
        <f t="array" ref="G70">SUMPRODUCT(IF($E70=$O$2,$D70*$P$2,IF($E70=$O$3,$D70*$P$3,IF($E70=$O$4,$D70*$P$4,IF($E70=$O$5,$D70*$P$5,IF($E70=$O$6,$D70*$P$6, IF($E70=$O$7,$D70*$P$7,IF($E70=$O$8,$D70*$P$8,IF($E70=$O$9,$D70*$P$9,IF($E70=$O$10,$D70*$P$10,IF($E70=$O$11,$D70*$P$11,IF($E70=$O$12,$D70*$P$12,IF($E70=$O$13,$D70*$P$13,IF($E70=$O$14,$D70*$P$14,IF($E70=$O$15,$D70*$P$15,IF($E70=$O$16,$D70*$P$16,IF($E70=$O$17,$D70*$P$17,IF($E70=$O$18,$D70*$P$18,IF($E70=$O$19,$D70*$P$19,IF($E70=$O$20,$D70*$P$20,IF($E70=$O$21,$D70*$P$21,IF($E70=$O$22,$D70*$P$22,IF($E70=$O$23,$D70*$P$23,IF($E70=$O$24,$D70*$P$24,IF($E70=$O$25,$D70*$P$25,IF($E70=$O$26,$D70*$P$26,IF($E70=$O$27,$D70*$P$27,IF($E70=$O$28,$D70*$P$28,IF($E70=$O$29,$D70*$P$29,IF($E70=$O$30,$D70*$P$30,IF($E70=$O$31,$D70*$P$31,IF($E70=$O$32,$D70*$P$32,IF($E70=$O$33,$D70*$P$33,IF($E70=$O$34,$D70*$P$34,IF($E70=$O$35,$D70*$P$35,n/a)))))))))))))))))))))))))))))))))))</f>
        <v>288</v>
      </c>
      <c r="H70" s="6">
        <f t="shared" si="2"/>
        <v>0</v>
      </c>
    </row>
    <row r="71" spans="1:8" x14ac:dyDescent="0.25">
      <c r="A71">
        <v>1020</v>
      </c>
      <c r="B71" t="s">
        <v>53</v>
      </c>
      <c r="C71" t="s">
        <v>197</v>
      </c>
      <c r="D71">
        <v>1</v>
      </c>
      <c r="E71">
        <v>-7.85</v>
      </c>
      <c r="F71">
        <v>-7.85</v>
      </c>
      <c r="G71" cm="1">
        <f t="array" ref="G71">SUMPRODUCT(IF($E71=$O$2,$D71*$P$2,IF($E71=$O$3,$D71*$P$3,IF($E71=$O$4,$D71*$P$4,IF($E71=$O$5,$D71*$P$5,IF($E71=$O$6,$D71*$P$6, IF($E71=$O$7,$D71*$P$7,IF($E71=$O$8,$D71*$P$8,IF($E71=$O$9,$D71*$P$9,IF($E71=$O$10,$D71*$P$10,IF($E71=$O$11,$D71*$P$11,IF($E71=$O$12,$D71*$P$12,IF($E71=$O$13,$D71*$P$13,IF($E71=$O$14,$D71*$P$14,IF($E71=$O$15,$D71*$P$15,IF($E71=$O$16,$D71*$P$16,IF($E71=$O$17,$D71*$P$17,IF($E71=$O$18,$D71*$P$18,IF($E71=$O$19,$D71*$P$19,IF($E71=$O$20,$D71*$P$20,IF($E71=$O$21,$D71*$P$21,IF($E71=$O$22,$D71*$P$22,IF($E71=$O$23,$D71*$P$23,IF($E71=$O$24,$D71*$P$24,IF($E71=$O$25,$D71*$P$25,IF($E71=$O$26,$D71*$P$26,IF($E71=$O$27,$D71*$P$27,IF($E71=$O$28,$D71*$P$28,IF($E71=$O$29,$D71*$P$29,IF($E71=$O$30,$D71*$P$30,IF($E71=$O$31,$D71*$P$31,IF($E71=$O$32,$D71*$P$32,IF($E71=$O$33,$D71*$P$33,IF($E71=$O$34,$D71*$P$34,IF($E71=$O$35,$D71*$P$35,n/a)))))))))))))))))))))))))))))))))))</f>
        <v>-1</v>
      </c>
      <c r="H71" s="6">
        <f t="shared" si="2"/>
        <v>-10</v>
      </c>
    </row>
    <row r="72" spans="1:8" x14ac:dyDescent="0.25">
      <c r="A72">
        <v>1020</v>
      </c>
      <c r="B72" t="s">
        <v>55</v>
      </c>
      <c r="C72" t="s">
        <v>197</v>
      </c>
      <c r="D72">
        <v>244</v>
      </c>
      <c r="E72">
        <v>7.85</v>
      </c>
      <c r="F72">
        <v>1915.4</v>
      </c>
      <c r="G72" cm="1">
        <f t="array" ref="G72">SUMPRODUCT(IF($E72=$O$2,$D72*$P$2,IF($E72=$O$3,$D72*$P$3,IF($E72=$O$4,$D72*$P$4,IF($E72=$O$5,$D72*$P$5,IF($E72=$O$6,$D72*$P$6, IF($E72=$O$7,$D72*$P$7,IF($E72=$O$8,$D72*$P$8,IF($E72=$O$9,$D72*$P$9,IF($E72=$O$10,$D72*$P$10,IF($E72=$O$11,$D72*$P$11,IF($E72=$O$12,$D72*$P$12,IF($E72=$O$13,$D72*$P$13,IF($E72=$O$14,$D72*$P$14,IF($E72=$O$15,$D72*$P$15,IF($E72=$O$16,$D72*$P$16,IF($E72=$O$17,$D72*$P$17,IF($E72=$O$18,$D72*$P$18,IF($E72=$O$19,$D72*$P$19,IF($E72=$O$20,$D72*$P$20,IF($E72=$O$21,$D72*$P$21,IF($E72=$O$22,$D72*$P$22,IF($E72=$O$23,$D72*$P$23,IF($E72=$O$24,$D72*$P$24,IF($E72=$O$25,$D72*$P$25,IF($E72=$O$26,$D72*$P$26,IF($E72=$O$27,$D72*$P$27,IF($E72=$O$28,$D72*$P$28,IF($E72=$O$29,$D72*$P$29,IF($E72=$O$30,$D72*$P$30,IF($E72=$O$31,$D72*$P$31,IF($E72=$O$32,$D72*$P$32,IF($E72=$O$33,$D72*$P$33,IF($E72=$O$34,$D72*$P$34,IF($E72=$O$35,$D72*$P$35,n/a)))))))))))))))))))))))))))))))))))</f>
        <v>244</v>
      </c>
      <c r="H72" s="6">
        <f t="shared" si="2"/>
        <v>0</v>
      </c>
    </row>
    <row r="73" spans="1:8" x14ac:dyDescent="0.25">
      <c r="A73">
        <v>1020</v>
      </c>
      <c r="B73" t="s">
        <v>55</v>
      </c>
      <c r="C73" t="s">
        <v>197</v>
      </c>
      <c r="D73">
        <v>2</v>
      </c>
      <c r="E73">
        <v>-7.85</v>
      </c>
      <c r="F73">
        <v>-15.7</v>
      </c>
      <c r="G73" cm="1">
        <f t="array" ref="G73">SUMPRODUCT(IF($E73=$O$2,$D73*$P$2,IF($E73=$O$3,$D73*$P$3,IF($E73=$O$4,$D73*$P$4,IF($E73=$O$5,$D73*$P$5,IF($E73=$O$6,$D73*$P$6, IF($E73=$O$7,$D73*$P$7,IF($E73=$O$8,$D73*$P$8,IF($E73=$O$9,$D73*$P$9,IF($E73=$O$10,$D73*$P$10,IF($E73=$O$11,$D73*$P$11,IF($E73=$O$12,$D73*$P$12,IF($E73=$O$13,$D73*$P$13,IF($E73=$O$14,$D73*$P$14,IF($E73=$O$15,$D73*$P$15,IF($E73=$O$16,$D73*$P$16,IF($E73=$O$17,$D73*$P$17,IF($E73=$O$18,$D73*$P$18,IF($E73=$O$19,$D73*$P$19,IF($E73=$O$20,$D73*$P$20,IF($E73=$O$21,$D73*$P$21,IF($E73=$O$22,$D73*$P$22,IF($E73=$O$23,$D73*$P$23,IF($E73=$O$24,$D73*$P$24,IF($E73=$O$25,$D73*$P$25,IF($E73=$O$26,$D73*$P$26,IF($E73=$O$27,$D73*$P$27,IF($E73=$O$28,$D73*$P$28,IF($E73=$O$29,$D73*$P$29,IF($E73=$O$30,$D73*$P$30,IF($E73=$O$31,$D73*$P$31,IF($E73=$O$32,$D73*$P$32,IF($E73=$O$33,$D73*$P$33,IF($E73=$O$34,$D73*$P$34,IF($E73=$O$35,$D73*$P$35,n/a)))))))))))))))))))))))))))))))))))</f>
        <v>-2</v>
      </c>
      <c r="H73" s="6">
        <f t="shared" si="2"/>
        <v>-20</v>
      </c>
    </row>
    <row r="74" spans="1:8" x14ac:dyDescent="0.25">
      <c r="A74">
        <v>1020</v>
      </c>
      <c r="B74" t="s">
        <v>57</v>
      </c>
      <c r="C74" t="s">
        <v>197</v>
      </c>
      <c r="D74">
        <v>24</v>
      </c>
      <c r="E74">
        <v>7.85</v>
      </c>
      <c r="F74">
        <v>188.4</v>
      </c>
      <c r="G74" cm="1">
        <f t="array" ref="G74">SUMPRODUCT(IF($E74=$O$2,$D74*$P$2,IF($E74=$O$3,$D74*$P$3,IF($E74=$O$4,$D74*$P$4,IF($E74=$O$5,$D74*$P$5,IF($E74=$O$6,$D74*$P$6, IF($E74=$O$7,$D74*$P$7,IF($E74=$O$8,$D74*$P$8,IF($E74=$O$9,$D74*$P$9,IF($E74=$O$10,$D74*$P$10,IF($E74=$O$11,$D74*$P$11,IF($E74=$O$12,$D74*$P$12,IF($E74=$O$13,$D74*$P$13,IF($E74=$O$14,$D74*$P$14,IF($E74=$O$15,$D74*$P$15,IF($E74=$O$16,$D74*$P$16,IF($E74=$O$17,$D74*$P$17,IF($E74=$O$18,$D74*$P$18,IF($E74=$O$19,$D74*$P$19,IF($E74=$O$20,$D74*$P$20,IF($E74=$O$21,$D74*$P$21,IF($E74=$O$22,$D74*$P$22,IF($E74=$O$23,$D74*$P$23,IF($E74=$O$24,$D74*$P$24,IF($E74=$O$25,$D74*$P$25,IF($E74=$O$26,$D74*$P$26,IF($E74=$O$27,$D74*$P$27,IF($E74=$O$28,$D74*$P$28,IF($E74=$O$29,$D74*$P$29,IF($E74=$O$30,$D74*$P$30,IF($E74=$O$31,$D74*$P$31,IF($E74=$O$32,$D74*$P$32,IF($E74=$O$33,$D74*$P$33,IF($E74=$O$34,$D74*$P$34,IF($E74=$O$35,$D74*$P$35,n/a)))))))))))))))))))))))))))))))))))</f>
        <v>24</v>
      </c>
      <c r="H74" s="6">
        <f t="shared" si="2"/>
        <v>0</v>
      </c>
    </row>
    <row r="75" spans="1:8" x14ac:dyDescent="0.25">
      <c r="A75">
        <v>1020</v>
      </c>
      <c r="B75" t="s">
        <v>57</v>
      </c>
      <c r="C75" t="s">
        <v>197</v>
      </c>
      <c r="D75">
        <v>1</v>
      </c>
      <c r="E75">
        <v>-7.85</v>
      </c>
      <c r="F75">
        <v>-7.85</v>
      </c>
      <c r="G75" cm="1">
        <f t="array" ref="G75">SUMPRODUCT(IF($E75=$O$2,$D75*$P$2,IF($E75=$O$3,$D75*$P$3,IF($E75=$O$4,$D75*$P$4,IF($E75=$O$5,$D75*$P$5,IF($E75=$O$6,$D75*$P$6, IF($E75=$O$7,$D75*$P$7,IF($E75=$O$8,$D75*$P$8,IF($E75=$O$9,$D75*$P$9,IF($E75=$O$10,$D75*$P$10,IF($E75=$O$11,$D75*$P$11,IF($E75=$O$12,$D75*$P$12,IF($E75=$O$13,$D75*$P$13,IF($E75=$O$14,$D75*$P$14,IF($E75=$O$15,$D75*$P$15,IF($E75=$O$16,$D75*$P$16,IF($E75=$O$17,$D75*$P$17,IF($E75=$O$18,$D75*$P$18,IF($E75=$O$19,$D75*$P$19,IF($E75=$O$20,$D75*$P$20,IF($E75=$O$21,$D75*$P$21,IF($E75=$O$22,$D75*$P$22,IF($E75=$O$23,$D75*$P$23,IF($E75=$O$24,$D75*$P$24,IF($E75=$O$25,$D75*$P$25,IF($E75=$O$26,$D75*$P$26,IF($E75=$O$27,$D75*$P$27,IF($E75=$O$28,$D75*$P$28,IF($E75=$O$29,$D75*$P$29,IF($E75=$O$30,$D75*$P$30,IF($E75=$O$31,$D75*$P$31,IF($E75=$O$32,$D75*$P$32,IF($E75=$O$33,$D75*$P$33,IF($E75=$O$34,$D75*$P$34,IF($E75=$O$35,$D75*$P$35,n/a)))))))))))))))))))))))))))))))))))</f>
        <v>-1</v>
      </c>
      <c r="H75" s="6">
        <f t="shared" si="2"/>
        <v>-10</v>
      </c>
    </row>
    <row r="76" spans="1:8" x14ac:dyDescent="0.25">
      <c r="A76">
        <v>1020</v>
      </c>
      <c r="B76" t="s">
        <v>178</v>
      </c>
      <c r="C76" t="s">
        <v>197</v>
      </c>
      <c r="D76">
        <v>157</v>
      </c>
      <c r="E76">
        <v>5.85</v>
      </c>
      <c r="F76">
        <v>918.45</v>
      </c>
      <c r="G76" cm="1">
        <f t="array" ref="G76">SUMPRODUCT(IF($E76=$O$2,$D76*$P$2,IF($E76=$O$3,$D76*$P$3,IF($E76=$O$4,$D76*$P$4,IF($E76=$O$5,$D76*$P$5,IF($E76=$O$6,$D76*$P$6, IF($E76=$O$7,$D76*$P$7,IF($E76=$O$8,$D76*$P$8,IF($E76=$O$9,$D76*$P$9,IF($E76=$O$10,$D76*$P$10,IF($E76=$O$11,$D76*$P$11,IF($E76=$O$12,$D76*$P$12,IF($E76=$O$13,$D76*$P$13,IF($E76=$O$14,$D76*$P$14,IF($E76=$O$15,$D76*$P$15,IF($E76=$O$16,$D76*$P$16,IF($E76=$O$17,$D76*$P$17,IF($E76=$O$18,$D76*$P$18,IF($E76=$O$19,$D76*$P$19,IF($E76=$O$20,$D76*$P$20,IF($E76=$O$21,$D76*$P$21,IF($E76=$O$22,$D76*$P$22,IF($E76=$O$23,$D76*$P$23,IF($E76=$O$24,$D76*$P$24,IF($E76=$O$25,$D76*$P$25,IF($E76=$O$26,$D76*$P$26,IF($E76=$O$27,$D76*$P$27,IF($E76=$O$28,$D76*$P$28,IF($E76=$O$29,$D76*$P$29,IF($E76=$O$30,$D76*$P$30,IF($E76=$O$31,$D76*$P$31,IF($E76=$O$32,$D76*$P$32,IF($E76=$O$33,$D76*$P$33,IF($E76=$O$34,$D76*$P$34,IF($E76=$O$35,$D76*$P$35,n/a)))))))))))))))))))))))))))))))))))</f>
        <v>157</v>
      </c>
      <c r="H76" s="6">
        <f t="shared" si="2"/>
        <v>0</v>
      </c>
    </row>
    <row r="77" spans="1:8" x14ac:dyDescent="0.25">
      <c r="A77">
        <v>1020</v>
      </c>
      <c r="B77" t="s">
        <v>59</v>
      </c>
      <c r="C77" t="s">
        <v>197</v>
      </c>
      <c r="D77">
        <v>86</v>
      </c>
      <c r="E77">
        <v>7.85</v>
      </c>
      <c r="F77">
        <v>675.1</v>
      </c>
      <c r="G77" cm="1">
        <f t="array" ref="G77">SUMPRODUCT(IF($E77=$O$2,$D77*$P$2,IF($E77=$O$3,$D77*$P$3,IF($E77=$O$4,$D77*$P$4,IF($E77=$O$5,$D77*$P$5,IF($E77=$O$6,$D77*$P$6, IF($E77=$O$7,$D77*$P$7,IF($E77=$O$8,$D77*$P$8,IF($E77=$O$9,$D77*$P$9,IF($E77=$O$10,$D77*$P$10,IF($E77=$O$11,$D77*$P$11,IF($E77=$O$12,$D77*$P$12,IF($E77=$O$13,$D77*$P$13,IF($E77=$O$14,$D77*$P$14,IF($E77=$O$15,$D77*$P$15,IF($E77=$O$16,$D77*$P$16,IF($E77=$O$17,$D77*$P$17,IF($E77=$O$18,$D77*$P$18,IF($E77=$O$19,$D77*$P$19,IF($E77=$O$20,$D77*$P$20,IF($E77=$O$21,$D77*$P$21,IF($E77=$O$22,$D77*$P$22,IF($E77=$O$23,$D77*$P$23,IF($E77=$O$24,$D77*$P$24,IF($E77=$O$25,$D77*$P$25,IF($E77=$O$26,$D77*$P$26,IF($E77=$O$27,$D77*$P$27,IF($E77=$O$28,$D77*$P$28,IF($E77=$O$29,$D77*$P$29,IF($E77=$O$30,$D77*$P$30,IF($E77=$O$31,$D77*$P$31,IF($E77=$O$32,$D77*$P$32,IF($E77=$O$33,$D77*$P$33,IF($E77=$O$34,$D77*$P$34,IF($E77=$O$35,$D77*$P$35,n/a)))))))))))))))))))))))))))))))))))</f>
        <v>86</v>
      </c>
      <c r="H77" s="6">
        <f t="shared" si="2"/>
        <v>0</v>
      </c>
    </row>
    <row r="78" spans="1:8" x14ac:dyDescent="0.25">
      <c r="A78">
        <v>1020</v>
      </c>
      <c r="B78" t="s">
        <v>61</v>
      </c>
      <c r="C78" t="s">
        <v>197</v>
      </c>
      <c r="D78">
        <v>177</v>
      </c>
      <c r="E78">
        <v>7.85</v>
      </c>
      <c r="F78">
        <v>1389.45</v>
      </c>
      <c r="G78" cm="1">
        <f t="array" ref="G78">SUMPRODUCT(IF($E78=$O$2,$D78*$P$2,IF($E78=$O$3,$D78*$P$3,IF($E78=$O$4,$D78*$P$4,IF($E78=$O$5,$D78*$P$5,IF($E78=$O$6,$D78*$P$6, IF($E78=$O$7,$D78*$P$7,IF($E78=$O$8,$D78*$P$8,IF($E78=$O$9,$D78*$P$9,IF($E78=$O$10,$D78*$P$10,IF($E78=$O$11,$D78*$P$11,IF($E78=$O$12,$D78*$P$12,IF($E78=$O$13,$D78*$P$13,IF($E78=$O$14,$D78*$P$14,IF($E78=$O$15,$D78*$P$15,IF($E78=$O$16,$D78*$P$16,IF($E78=$O$17,$D78*$P$17,IF($E78=$O$18,$D78*$P$18,IF($E78=$O$19,$D78*$P$19,IF($E78=$O$20,$D78*$P$20,IF($E78=$O$21,$D78*$P$21,IF($E78=$O$22,$D78*$P$22,IF($E78=$O$23,$D78*$P$23,IF($E78=$O$24,$D78*$P$24,IF($E78=$O$25,$D78*$P$25,IF($E78=$O$26,$D78*$P$26,IF($E78=$O$27,$D78*$P$27,IF($E78=$O$28,$D78*$P$28,IF($E78=$O$29,$D78*$P$29,IF($E78=$O$30,$D78*$P$30,IF($E78=$O$31,$D78*$P$31,IF($E78=$O$32,$D78*$P$32,IF($E78=$O$33,$D78*$P$33,IF($E78=$O$34,$D78*$P$34,IF($E78=$O$35,$D78*$P$35,n/a)))))))))))))))))))))))))))))))))))</f>
        <v>177</v>
      </c>
      <c r="H78" s="6">
        <f t="shared" si="2"/>
        <v>0</v>
      </c>
    </row>
    <row r="79" spans="1:8" x14ac:dyDescent="0.25">
      <c r="A79">
        <v>1020</v>
      </c>
      <c r="B79" t="s">
        <v>179</v>
      </c>
      <c r="C79" t="s">
        <v>197</v>
      </c>
      <c r="D79">
        <v>58</v>
      </c>
      <c r="E79">
        <v>6.8</v>
      </c>
      <c r="F79">
        <v>394.4</v>
      </c>
      <c r="G79" cm="1">
        <f t="array" ref="G79">SUMPRODUCT(IF($E79=$O$2,$D79*$P$2,IF($E79=$O$3,$D79*$P$3,IF($E79=$O$4,$D79*$P$4,IF($E79=$O$5,$D79*$P$5,IF($E79=$O$6,$D79*$P$6, IF($E79=$O$7,$D79*$P$7,IF($E79=$O$8,$D79*$P$8,IF($E79=$O$9,$D79*$P$9,IF($E79=$O$10,$D79*$P$10,IF($E79=$O$11,$D79*$P$11,IF($E79=$O$12,$D79*$P$12,IF($E79=$O$13,$D79*$P$13,IF($E79=$O$14,$D79*$P$14,IF($E79=$O$15,$D79*$P$15,IF($E79=$O$16,$D79*$P$16,IF($E79=$O$17,$D79*$P$17,IF($E79=$O$18,$D79*$P$18,IF($E79=$O$19,$D79*$P$19,IF($E79=$O$20,$D79*$P$20,IF($E79=$O$21,$D79*$P$21,IF($E79=$O$22,$D79*$P$22,IF($E79=$O$23,$D79*$P$23,IF($E79=$O$24,$D79*$P$24,IF($E79=$O$25,$D79*$P$25,IF($E79=$O$26,$D79*$P$26,IF($E79=$O$27,$D79*$P$27,IF($E79=$O$28,$D79*$P$28,IF($E79=$O$29,$D79*$P$29,IF($E79=$O$30,$D79*$P$30,IF($E79=$O$31,$D79*$P$31,IF($E79=$O$32,$D79*$P$32,IF($E79=$O$33,$D79*$P$33,IF($E79=$O$34,$D79*$P$34,IF($E79=$O$35,$D79*$P$35,n/a)))))))))))))))))))))))))))))))))))</f>
        <v>58</v>
      </c>
      <c r="H79" s="6">
        <f t="shared" si="2"/>
        <v>0</v>
      </c>
    </row>
    <row r="80" spans="1:8" x14ac:dyDescent="0.25">
      <c r="A80">
        <v>1020</v>
      </c>
      <c r="B80" t="s">
        <v>63</v>
      </c>
      <c r="C80" t="s">
        <v>197</v>
      </c>
      <c r="D80">
        <v>122</v>
      </c>
      <c r="E80">
        <v>7.85</v>
      </c>
      <c r="F80">
        <v>957.7</v>
      </c>
      <c r="G80" cm="1">
        <f t="array" ref="G80">SUMPRODUCT(IF($E80=$O$2,$D80*$P$2,IF($E80=$O$3,$D80*$P$3,IF($E80=$O$4,$D80*$P$4,IF($E80=$O$5,$D80*$P$5,IF($E80=$O$6,$D80*$P$6, IF($E80=$O$7,$D80*$P$7,IF($E80=$O$8,$D80*$P$8,IF($E80=$O$9,$D80*$P$9,IF($E80=$O$10,$D80*$P$10,IF($E80=$O$11,$D80*$P$11,IF($E80=$O$12,$D80*$P$12,IF($E80=$O$13,$D80*$P$13,IF($E80=$O$14,$D80*$P$14,IF($E80=$O$15,$D80*$P$15,IF($E80=$O$16,$D80*$P$16,IF($E80=$O$17,$D80*$P$17,IF($E80=$O$18,$D80*$P$18,IF($E80=$O$19,$D80*$P$19,IF($E80=$O$20,$D80*$P$20,IF($E80=$O$21,$D80*$P$21,IF($E80=$O$22,$D80*$P$22,IF($E80=$O$23,$D80*$P$23,IF($E80=$O$24,$D80*$P$24,IF($E80=$O$25,$D80*$P$25,IF($E80=$O$26,$D80*$P$26,IF($E80=$O$27,$D80*$P$27,IF($E80=$O$28,$D80*$P$28,IF($E80=$O$29,$D80*$P$29,IF($E80=$O$30,$D80*$P$30,IF($E80=$O$31,$D80*$P$31,IF($E80=$O$32,$D80*$P$32,IF($E80=$O$33,$D80*$P$33,IF($E80=$O$34,$D80*$P$34,IF($E80=$O$35,$D80*$P$35,n/a)))))))))))))))))))))))))))))))))))</f>
        <v>122</v>
      </c>
      <c r="H80" s="6">
        <f t="shared" si="2"/>
        <v>0</v>
      </c>
    </row>
    <row r="81" spans="1:8" x14ac:dyDescent="0.25">
      <c r="A81">
        <v>1020</v>
      </c>
      <c r="B81" t="s">
        <v>179</v>
      </c>
      <c r="C81" t="s">
        <v>197</v>
      </c>
      <c r="D81">
        <v>1</v>
      </c>
      <c r="E81">
        <v>-6.8</v>
      </c>
      <c r="F81">
        <v>-6.8</v>
      </c>
      <c r="G81" cm="1">
        <f t="array" ref="G81">SUMPRODUCT(IF($E81=$O$2,$D81*$P$2,IF($E81=$O$3,$D81*$P$3,IF($E81=$O$4,$D81*$P$4,IF($E81=$O$5,$D81*$P$5,IF($E81=$O$6,$D81*$P$6, IF($E81=$O$7,$D81*$P$7,IF($E81=$O$8,$D81*$P$8,IF($E81=$O$9,$D81*$P$9,IF($E81=$O$10,$D81*$P$10,IF($E81=$O$11,$D81*$P$11,IF($E81=$O$12,$D81*$P$12,IF($E81=$O$13,$D81*$P$13,IF($E81=$O$14,$D81*$P$14,IF($E81=$O$15,$D81*$P$15,IF($E81=$O$16,$D81*$P$16,IF($E81=$O$17,$D81*$P$17,IF($E81=$O$18,$D81*$P$18,IF($E81=$O$19,$D81*$P$19,IF($E81=$O$20,$D81*$P$20,IF($E81=$O$21,$D81*$P$21,IF($E81=$O$22,$D81*$P$22,IF($E81=$O$23,$D81*$P$23,IF($E81=$O$24,$D81*$P$24,IF($E81=$O$25,$D81*$P$25,IF($E81=$O$26,$D81*$P$26,IF($E81=$O$27,$D81*$P$27,IF($E81=$O$28,$D81*$P$28,IF($E81=$O$29,$D81*$P$29,IF($E81=$O$30,$D81*$P$30,IF($E81=$O$31,$D81*$P$31,IF($E81=$O$32,$D81*$P$32,IF($E81=$O$33,$D81*$P$33,IF($E81=$O$34,$D81*$P$34,IF($E81=$O$35,$D81*$P$35,n/a)))))))))))))))))))))))))))))))))))</f>
        <v>-1</v>
      </c>
      <c r="H81" s="6">
        <f t="shared" ref="H81" si="3">IF($E81&lt;0,$G81*10,0)</f>
        <v>-10</v>
      </c>
    </row>
    <row r="82" spans="1:8" x14ac:dyDescent="0.25">
      <c r="A82">
        <v>1020</v>
      </c>
      <c r="B82" t="s">
        <v>63</v>
      </c>
      <c r="C82" t="s">
        <v>197</v>
      </c>
      <c r="D82">
        <v>1</v>
      </c>
      <c r="E82">
        <v>-7.85</v>
      </c>
      <c r="F82">
        <v>-7.85</v>
      </c>
      <c r="G82" cm="1">
        <f t="array" ref="G82">SUMPRODUCT(IF($E82=$O$2,$D82*$P$2,IF($E82=$O$3,$D82*$P$3,IF($E82=$O$4,$D82*$P$4,IF($E82=$O$5,$D82*$P$5,IF($E82=$O$6,$D82*$P$6, IF($E82=$O$7,$D82*$P$7,IF($E82=$O$8,$D82*$P$8,IF($E82=$O$9,$D82*$P$9,IF($E82=$O$10,$D82*$P$10,IF($E82=$O$11,$D82*$P$11,IF($E82=$O$12,$D82*$P$12,IF($E82=$O$13,$D82*$P$13,IF($E82=$O$14,$D82*$P$14,IF($E82=$O$15,$D82*$P$15,IF($E82=$O$16,$D82*$P$16,IF($E82=$O$17,$D82*$P$17,IF($E82=$O$18,$D82*$P$18,IF($E82=$O$19,$D82*$P$19,IF($E82=$O$20,$D82*$P$20,IF($E82=$O$21,$D82*$P$21,IF($E82=$O$22,$D82*$P$22,IF($E82=$O$23,$D82*$P$23,IF($E82=$O$24,$D82*$P$24,IF($E82=$O$25,$D82*$P$25,IF($E82=$O$26,$D82*$P$26,IF($E82=$O$27,$D82*$P$27,IF($E82=$O$28,$D82*$P$28,IF($E82=$O$29,$D82*$P$29,IF($E82=$O$30,$D82*$P$30,IF($E82=$O$31,$D82*$P$31,IF($E82=$O$32,$D82*$P$32,IF($E82=$O$33,$D82*$P$33,IF($E82=$O$34,$D82*$P$34,IF($E82=$O$35,$D82*$P$35,n/a)))))))))))))))))))))))))))))))))))</f>
        <v>-1</v>
      </c>
      <c r="H82" s="6">
        <f t="shared" ref="H82:H103" si="4">IF($E82&lt;0,$G82*10,0)</f>
        <v>-10</v>
      </c>
    </row>
    <row r="83" spans="1:8" x14ac:dyDescent="0.25">
      <c r="A83">
        <v>1020</v>
      </c>
      <c r="B83" t="s">
        <v>65</v>
      </c>
      <c r="C83" t="s">
        <v>197</v>
      </c>
      <c r="D83">
        <v>1</v>
      </c>
      <c r="E83">
        <v>7.85</v>
      </c>
      <c r="F83">
        <v>7.85</v>
      </c>
      <c r="G83" cm="1">
        <f t="array" ref="G83">SUMPRODUCT(IF($E83=$O$2,$D83*$P$2,IF($E83=$O$3,$D83*$P$3,IF($E83=$O$4,$D83*$P$4,IF($E83=$O$5,$D83*$P$5,IF($E83=$O$6,$D83*$P$6, IF($E83=$O$7,$D83*$P$7,IF($E83=$O$8,$D83*$P$8,IF($E83=$O$9,$D83*$P$9,IF($E83=$O$10,$D83*$P$10,IF($E83=$O$11,$D83*$P$11,IF($E83=$O$12,$D83*$P$12,IF($E83=$O$13,$D83*$P$13,IF($E83=$O$14,$D83*$P$14,IF($E83=$O$15,$D83*$P$15,IF($E83=$O$16,$D83*$P$16,IF($E83=$O$17,$D83*$P$17,IF($E83=$O$18,$D83*$P$18,IF($E83=$O$19,$D83*$P$19,IF($E83=$O$20,$D83*$P$20,IF($E83=$O$21,$D83*$P$21,IF($E83=$O$22,$D83*$P$22,IF($E83=$O$23,$D83*$P$23,IF($E83=$O$24,$D83*$P$24,IF($E83=$O$25,$D83*$P$25,IF($E83=$O$26,$D83*$P$26,IF($E83=$O$27,$D83*$P$27,IF($E83=$O$28,$D83*$P$28,IF($E83=$O$29,$D83*$P$29,IF($E83=$O$30,$D83*$P$30,IF($E83=$O$31,$D83*$P$31,IF($E83=$O$32,$D83*$P$32,IF($E83=$O$33,$D83*$P$33,IF($E83=$O$34,$D83*$P$34,IF($E83=$O$35,$D83*$P$35,n/a)))))))))))))))))))))))))))))))))))</f>
        <v>1</v>
      </c>
      <c r="H83" s="6">
        <f t="shared" si="4"/>
        <v>0</v>
      </c>
    </row>
    <row r="84" spans="1:8" x14ac:dyDescent="0.25">
      <c r="A84">
        <v>1020</v>
      </c>
      <c r="B84" t="s">
        <v>67</v>
      </c>
      <c r="C84" t="s">
        <v>197</v>
      </c>
      <c r="D84">
        <v>64</v>
      </c>
      <c r="E84">
        <v>7.85</v>
      </c>
      <c r="F84">
        <v>502.4</v>
      </c>
      <c r="G84" cm="1">
        <f t="array" ref="G84">SUMPRODUCT(IF($E84=$O$2,$D84*$P$2,IF($E84=$O$3,$D84*$P$3,IF($E84=$O$4,$D84*$P$4,IF($E84=$O$5,$D84*$P$5,IF($E84=$O$6,$D84*$P$6, IF($E84=$O$7,$D84*$P$7,IF($E84=$O$8,$D84*$P$8,IF($E84=$O$9,$D84*$P$9,IF($E84=$O$10,$D84*$P$10,IF($E84=$O$11,$D84*$P$11,IF($E84=$O$12,$D84*$P$12,IF($E84=$O$13,$D84*$P$13,IF($E84=$O$14,$D84*$P$14,IF($E84=$O$15,$D84*$P$15,IF($E84=$O$16,$D84*$P$16,IF($E84=$O$17,$D84*$P$17,IF($E84=$O$18,$D84*$P$18,IF($E84=$O$19,$D84*$P$19,IF($E84=$O$20,$D84*$P$20,IF($E84=$O$21,$D84*$P$21,IF($E84=$O$22,$D84*$P$22,IF($E84=$O$23,$D84*$P$23,IF($E84=$O$24,$D84*$P$24,IF($E84=$O$25,$D84*$P$25,IF($E84=$O$26,$D84*$P$26,IF($E84=$O$27,$D84*$P$27,IF($E84=$O$28,$D84*$P$28,IF($E84=$O$29,$D84*$P$29,IF($E84=$O$30,$D84*$P$30,IF($E84=$O$31,$D84*$P$31,IF($E84=$O$32,$D84*$P$32,IF($E84=$O$33,$D84*$P$33,IF($E84=$O$34,$D84*$P$34,IF($E84=$O$35,$D84*$P$35,n/a)))))))))))))))))))))))))))))))))))</f>
        <v>64</v>
      </c>
      <c r="H84" s="6">
        <f t="shared" si="4"/>
        <v>0</v>
      </c>
    </row>
    <row r="85" spans="1:8" x14ac:dyDescent="0.25">
      <c r="A85">
        <v>1020</v>
      </c>
      <c r="B85" t="s">
        <v>67</v>
      </c>
      <c r="C85" t="s">
        <v>197</v>
      </c>
      <c r="D85">
        <v>1</v>
      </c>
      <c r="E85">
        <v>15.7</v>
      </c>
      <c r="F85">
        <v>15.7</v>
      </c>
      <c r="G85" cm="1">
        <f t="array" ref="G85">SUMPRODUCT(IF($E85=$O$2,$D85*$P$2,IF($E85=$O$3,$D85*$P$3,IF($E85=$O$4,$D85*$P$4,IF($E85=$O$5,$D85*$P$5,IF($E85=$O$6,$D85*$P$6, IF($E85=$O$7,$D85*$P$7,IF($E85=$O$8,$D85*$P$8,IF($E85=$O$9,$D85*$P$9,IF($E85=$O$10,$D85*$P$10,IF($E85=$O$11,$D85*$P$11,IF($E85=$O$12,$D85*$P$12,IF($E85=$O$13,$D85*$P$13,IF($E85=$O$14,$D85*$P$14,IF($E85=$O$15,$D85*$P$15,IF($E85=$O$16,$D85*$P$16,IF($E85=$O$17,$D85*$P$17,IF($E85=$O$18,$D85*$P$18,IF($E85=$O$19,$D85*$P$19,IF($E85=$O$20,$D85*$P$20,IF($E85=$O$21,$D85*$P$21,IF($E85=$O$22,$D85*$P$22,IF($E85=$O$23,$D85*$P$23,IF($E85=$O$24,$D85*$P$24,IF($E85=$O$25,$D85*$P$25,IF($E85=$O$26,$D85*$P$26,IF($E85=$O$27,$D85*$P$27,IF($E85=$O$28,$D85*$P$28,IF($E85=$O$29,$D85*$P$29,IF($E85=$O$30,$D85*$P$30,IF($E85=$O$31,$D85*$P$31,IF($E85=$O$32,$D85*$P$32,IF($E85=$O$33,$D85*$P$33,IF($E85=$O$34,$D85*$P$34,IF($E85=$O$35,$D85*$P$35,n/a)))))))))))))))))))))))))))))))))))</f>
        <v>2</v>
      </c>
      <c r="H85" s="6">
        <f t="shared" si="4"/>
        <v>0</v>
      </c>
    </row>
    <row r="86" spans="1:8" x14ac:dyDescent="0.25">
      <c r="A86">
        <v>1020</v>
      </c>
      <c r="B86" t="s">
        <v>69</v>
      </c>
      <c r="C86" t="s">
        <v>197</v>
      </c>
      <c r="D86">
        <v>310</v>
      </c>
      <c r="E86">
        <v>7.85</v>
      </c>
      <c r="F86">
        <v>2433.5</v>
      </c>
      <c r="G86" cm="1">
        <f t="array" ref="G86">SUMPRODUCT(IF($E86=$O$2,$D86*$P$2,IF($E86=$O$3,$D86*$P$3,IF($E86=$O$4,$D86*$P$4,IF($E86=$O$5,$D86*$P$5,IF($E86=$O$6,$D86*$P$6, IF($E86=$O$7,$D86*$P$7,IF($E86=$O$8,$D86*$P$8,IF($E86=$O$9,$D86*$P$9,IF($E86=$O$10,$D86*$P$10,IF($E86=$O$11,$D86*$P$11,IF($E86=$O$12,$D86*$P$12,IF($E86=$O$13,$D86*$P$13,IF($E86=$O$14,$D86*$P$14,IF($E86=$O$15,$D86*$P$15,IF($E86=$O$16,$D86*$P$16,IF($E86=$O$17,$D86*$P$17,IF($E86=$O$18,$D86*$P$18,IF($E86=$O$19,$D86*$P$19,IF($E86=$O$20,$D86*$P$20,IF($E86=$O$21,$D86*$P$21,IF($E86=$O$22,$D86*$P$22,IF($E86=$O$23,$D86*$P$23,IF($E86=$O$24,$D86*$P$24,IF($E86=$O$25,$D86*$P$25,IF($E86=$O$26,$D86*$P$26,IF($E86=$O$27,$D86*$P$27,IF($E86=$O$28,$D86*$P$28,IF($E86=$O$29,$D86*$P$29,IF($E86=$O$30,$D86*$P$30,IF($E86=$O$31,$D86*$P$31,IF($E86=$O$32,$D86*$P$32,IF($E86=$O$33,$D86*$P$33,IF($E86=$O$34,$D86*$P$34,IF($E86=$O$35,$D86*$P$35,n/a)))))))))))))))))))))))))))))))))))</f>
        <v>310</v>
      </c>
      <c r="H86" s="6">
        <f t="shared" si="4"/>
        <v>0</v>
      </c>
    </row>
    <row r="87" spans="1:8" x14ac:dyDescent="0.25">
      <c r="A87">
        <v>1020</v>
      </c>
      <c r="B87" t="s">
        <v>71</v>
      </c>
      <c r="C87" t="s">
        <v>197</v>
      </c>
      <c r="D87">
        <v>137</v>
      </c>
      <c r="E87">
        <v>7.85</v>
      </c>
      <c r="F87">
        <v>1075.45</v>
      </c>
      <c r="G87" cm="1">
        <f t="array" ref="G87">SUMPRODUCT(IF($E87=$O$2,$D87*$P$2,IF($E87=$O$3,$D87*$P$3,IF($E87=$O$4,$D87*$P$4,IF($E87=$O$5,$D87*$P$5,IF($E87=$O$6,$D87*$P$6, IF($E87=$O$7,$D87*$P$7,IF($E87=$O$8,$D87*$P$8,IF($E87=$O$9,$D87*$P$9,IF($E87=$O$10,$D87*$P$10,IF($E87=$O$11,$D87*$P$11,IF($E87=$O$12,$D87*$P$12,IF($E87=$O$13,$D87*$P$13,IF($E87=$O$14,$D87*$P$14,IF($E87=$O$15,$D87*$P$15,IF($E87=$O$16,$D87*$P$16,IF($E87=$O$17,$D87*$P$17,IF($E87=$O$18,$D87*$P$18,IF($E87=$O$19,$D87*$P$19,IF($E87=$O$20,$D87*$P$20,IF($E87=$O$21,$D87*$P$21,IF($E87=$O$22,$D87*$P$22,IF($E87=$O$23,$D87*$P$23,IF($E87=$O$24,$D87*$P$24,IF($E87=$O$25,$D87*$P$25,IF($E87=$O$26,$D87*$P$26,IF($E87=$O$27,$D87*$P$27,IF($E87=$O$28,$D87*$P$28,IF($E87=$O$29,$D87*$P$29,IF($E87=$O$30,$D87*$P$30,IF($E87=$O$31,$D87*$P$31,IF($E87=$O$32,$D87*$P$32,IF($E87=$O$33,$D87*$P$33,IF($E87=$O$34,$D87*$P$34,IF($E87=$O$35,$D87*$P$35,n/a)))))))))))))))))))))))))))))))))))</f>
        <v>137</v>
      </c>
      <c r="H87" s="6">
        <f t="shared" si="4"/>
        <v>0</v>
      </c>
    </row>
    <row r="88" spans="1:8" x14ac:dyDescent="0.25">
      <c r="A88">
        <v>1020</v>
      </c>
      <c r="B88" t="s">
        <v>71</v>
      </c>
      <c r="C88" t="s">
        <v>197</v>
      </c>
      <c r="D88">
        <v>2</v>
      </c>
      <c r="E88">
        <v>15.7</v>
      </c>
      <c r="F88">
        <v>31.4</v>
      </c>
      <c r="G88" cm="1">
        <f t="array" ref="G88">SUMPRODUCT(IF($E88=$O$2,$D88*$P$2,IF($E88=$O$3,$D88*$P$3,IF($E88=$O$4,$D88*$P$4,IF($E88=$O$5,$D88*$P$5,IF($E88=$O$6,$D88*$P$6, IF($E88=$O$7,$D88*$P$7,IF($E88=$O$8,$D88*$P$8,IF($E88=$O$9,$D88*$P$9,IF($E88=$O$10,$D88*$P$10,IF($E88=$O$11,$D88*$P$11,IF($E88=$O$12,$D88*$P$12,IF($E88=$O$13,$D88*$P$13,IF($E88=$O$14,$D88*$P$14,IF($E88=$O$15,$D88*$P$15,IF($E88=$O$16,$D88*$P$16,IF($E88=$O$17,$D88*$P$17,IF($E88=$O$18,$D88*$P$18,IF($E88=$O$19,$D88*$P$19,IF($E88=$O$20,$D88*$P$20,IF($E88=$O$21,$D88*$P$21,IF($E88=$O$22,$D88*$P$22,IF($E88=$O$23,$D88*$P$23,IF($E88=$O$24,$D88*$P$24,IF($E88=$O$25,$D88*$P$25,IF($E88=$O$26,$D88*$P$26,IF($E88=$O$27,$D88*$P$27,IF($E88=$O$28,$D88*$P$28,IF($E88=$O$29,$D88*$P$29,IF($E88=$O$30,$D88*$P$30,IF($E88=$O$31,$D88*$P$31,IF($E88=$O$32,$D88*$P$32,IF($E88=$O$33,$D88*$P$33,IF($E88=$O$34,$D88*$P$34,IF($E88=$O$35,$D88*$P$35,n/a)))))))))))))))))))))))))))))))))))</f>
        <v>4</v>
      </c>
      <c r="H88" s="6">
        <f t="shared" si="4"/>
        <v>0</v>
      </c>
    </row>
    <row r="89" spans="1:8" x14ac:dyDescent="0.25">
      <c r="A89">
        <v>1020</v>
      </c>
      <c r="B89" t="s">
        <v>71</v>
      </c>
      <c r="C89" t="s">
        <v>197</v>
      </c>
      <c r="D89">
        <v>2</v>
      </c>
      <c r="E89">
        <v>-7.85</v>
      </c>
      <c r="F89">
        <v>-15.7</v>
      </c>
      <c r="G89" cm="1">
        <f t="array" ref="G89">SUMPRODUCT(IF($E89=$O$2,$D89*$P$2,IF($E89=$O$3,$D89*$P$3,IF($E89=$O$4,$D89*$P$4,IF($E89=$O$5,$D89*$P$5,IF($E89=$O$6,$D89*$P$6, IF($E89=$O$7,$D89*$P$7,IF($E89=$O$8,$D89*$P$8,IF($E89=$O$9,$D89*$P$9,IF($E89=$O$10,$D89*$P$10,IF($E89=$O$11,$D89*$P$11,IF($E89=$O$12,$D89*$P$12,IF($E89=$O$13,$D89*$P$13,IF($E89=$O$14,$D89*$P$14,IF($E89=$O$15,$D89*$P$15,IF($E89=$O$16,$D89*$P$16,IF($E89=$O$17,$D89*$P$17,IF($E89=$O$18,$D89*$P$18,IF($E89=$O$19,$D89*$P$19,IF($E89=$O$20,$D89*$P$20,IF($E89=$O$21,$D89*$P$21,IF($E89=$O$22,$D89*$P$22,IF($E89=$O$23,$D89*$P$23,IF($E89=$O$24,$D89*$P$24,IF($E89=$O$25,$D89*$P$25,IF($E89=$O$26,$D89*$P$26,IF($E89=$O$27,$D89*$P$27,IF($E89=$O$28,$D89*$P$28,IF($E89=$O$29,$D89*$P$29,IF($E89=$O$30,$D89*$P$30,IF($E89=$O$31,$D89*$P$31,IF($E89=$O$32,$D89*$P$32,IF($E89=$O$33,$D89*$P$33,IF($E89=$O$34,$D89*$P$34,IF($E89=$O$35,$D89*$P$35,n/a)))))))))))))))))))))))))))))))))))</f>
        <v>-2</v>
      </c>
      <c r="H89" s="6">
        <f t="shared" si="4"/>
        <v>-20</v>
      </c>
    </row>
    <row r="90" spans="1:8" x14ac:dyDescent="0.25">
      <c r="A90">
        <v>1020</v>
      </c>
      <c r="B90" t="s">
        <v>73</v>
      </c>
      <c r="C90" t="s">
        <v>197</v>
      </c>
      <c r="D90">
        <v>135</v>
      </c>
      <c r="E90">
        <v>7.85</v>
      </c>
      <c r="F90">
        <v>1059.75</v>
      </c>
      <c r="G90" cm="1">
        <f t="array" ref="G90">SUMPRODUCT(IF($E90=$O$2,$D90*$P$2,IF($E90=$O$3,$D90*$P$3,IF($E90=$O$4,$D90*$P$4,IF($E90=$O$5,$D90*$P$5,IF($E90=$O$6,$D90*$P$6, IF($E90=$O$7,$D90*$P$7,IF($E90=$O$8,$D90*$P$8,IF($E90=$O$9,$D90*$P$9,IF($E90=$O$10,$D90*$P$10,IF($E90=$O$11,$D90*$P$11,IF($E90=$O$12,$D90*$P$12,IF($E90=$O$13,$D90*$P$13,IF($E90=$O$14,$D90*$P$14,IF($E90=$O$15,$D90*$P$15,IF($E90=$O$16,$D90*$P$16,IF($E90=$O$17,$D90*$P$17,IF($E90=$O$18,$D90*$P$18,IF($E90=$O$19,$D90*$P$19,IF($E90=$O$20,$D90*$P$20,IF($E90=$O$21,$D90*$P$21,IF($E90=$O$22,$D90*$P$22,IF($E90=$O$23,$D90*$P$23,IF($E90=$O$24,$D90*$P$24,IF($E90=$O$25,$D90*$P$25,IF($E90=$O$26,$D90*$P$26,IF($E90=$O$27,$D90*$P$27,IF($E90=$O$28,$D90*$P$28,IF($E90=$O$29,$D90*$P$29,IF($E90=$O$30,$D90*$P$30,IF($E90=$O$31,$D90*$P$31,IF($E90=$O$32,$D90*$P$32,IF($E90=$O$33,$D90*$P$33,IF($E90=$O$34,$D90*$P$34,IF($E90=$O$35,$D90*$P$35,n/a)))))))))))))))))))))))))))))))))))</f>
        <v>135</v>
      </c>
      <c r="H90" s="6">
        <f t="shared" si="4"/>
        <v>0</v>
      </c>
    </row>
    <row r="91" spans="1:8" x14ac:dyDescent="0.25">
      <c r="A91">
        <v>1020</v>
      </c>
      <c r="B91" t="s">
        <v>75</v>
      </c>
      <c r="C91" t="s">
        <v>197</v>
      </c>
      <c r="D91">
        <v>101</v>
      </c>
      <c r="E91">
        <v>7.85</v>
      </c>
      <c r="F91">
        <v>792.85</v>
      </c>
      <c r="G91" cm="1">
        <f t="array" ref="G91">SUMPRODUCT(IF($E91=$O$2,$D91*$P$2,IF($E91=$O$3,$D91*$P$3,IF($E91=$O$4,$D91*$P$4,IF($E91=$O$5,$D91*$P$5,IF($E91=$O$6,$D91*$P$6, IF($E91=$O$7,$D91*$P$7,IF($E91=$O$8,$D91*$P$8,IF($E91=$O$9,$D91*$P$9,IF($E91=$O$10,$D91*$P$10,IF($E91=$O$11,$D91*$P$11,IF($E91=$O$12,$D91*$P$12,IF($E91=$O$13,$D91*$P$13,IF($E91=$O$14,$D91*$P$14,IF($E91=$O$15,$D91*$P$15,IF($E91=$O$16,$D91*$P$16,IF($E91=$O$17,$D91*$P$17,IF($E91=$O$18,$D91*$P$18,IF($E91=$O$19,$D91*$P$19,IF($E91=$O$20,$D91*$P$20,IF($E91=$O$21,$D91*$P$21,IF($E91=$O$22,$D91*$P$22,IF($E91=$O$23,$D91*$P$23,IF($E91=$O$24,$D91*$P$24,IF($E91=$O$25,$D91*$P$25,IF($E91=$O$26,$D91*$P$26,IF($E91=$O$27,$D91*$P$27,IF($E91=$O$28,$D91*$P$28,IF($E91=$O$29,$D91*$P$29,IF($E91=$O$30,$D91*$P$30,IF($E91=$O$31,$D91*$P$31,IF($E91=$O$32,$D91*$P$32,IF($E91=$O$33,$D91*$P$33,IF($E91=$O$34,$D91*$P$34,IF($E91=$O$35,$D91*$P$35,n/a)))))))))))))))))))))))))))))))))))</f>
        <v>101</v>
      </c>
      <c r="H91" s="6">
        <f t="shared" si="4"/>
        <v>0</v>
      </c>
    </row>
    <row r="92" spans="1:8" x14ac:dyDescent="0.25">
      <c r="A92">
        <v>1020</v>
      </c>
      <c r="B92" t="s">
        <v>75</v>
      </c>
      <c r="C92" t="s">
        <v>197</v>
      </c>
      <c r="D92">
        <v>6</v>
      </c>
      <c r="E92">
        <v>15.7</v>
      </c>
      <c r="F92">
        <v>94.2</v>
      </c>
      <c r="G92" cm="1">
        <f t="array" ref="G92">SUMPRODUCT(IF($E92=$O$2,$D92*$P$2,IF($E92=$O$3,$D92*$P$3,IF($E92=$O$4,$D92*$P$4,IF($E92=$O$5,$D92*$P$5,IF($E92=$O$6,$D92*$P$6, IF($E92=$O$7,$D92*$P$7,IF($E92=$O$8,$D92*$P$8,IF($E92=$O$9,$D92*$P$9,IF($E92=$O$10,$D92*$P$10,IF($E92=$O$11,$D92*$P$11,IF($E92=$O$12,$D92*$P$12,IF($E92=$O$13,$D92*$P$13,IF($E92=$O$14,$D92*$P$14,IF($E92=$O$15,$D92*$P$15,IF($E92=$O$16,$D92*$P$16,IF($E92=$O$17,$D92*$P$17,IF($E92=$O$18,$D92*$P$18,IF($E92=$O$19,$D92*$P$19,IF($E92=$O$20,$D92*$P$20,IF($E92=$O$21,$D92*$P$21,IF($E92=$O$22,$D92*$P$22,IF($E92=$O$23,$D92*$P$23,IF($E92=$O$24,$D92*$P$24,IF($E92=$O$25,$D92*$P$25,IF($E92=$O$26,$D92*$P$26,IF($E92=$O$27,$D92*$P$27,IF($E92=$O$28,$D92*$P$28,IF($E92=$O$29,$D92*$P$29,IF($E92=$O$30,$D92*$P$30,IF($E92=$O$31,$D92*$P$31,IF($E92=$O$32,$D92*$P$32,IF($E92=$O$33,$D92*$P$33,IF($E92=$O$34,$D92*$P$34,IF($E92=$O$35,$D92*$P$35,n/a)))))))))))))))))))))))))))))))))))</f>
        <v>12</v>
      </c>
      <c r="H92" s="6">
        <f t="shared" si="4"/>
        <v>0</v>
      </c>
    </row>
    <row r="93" spans="1:8" x14ac:dyDescent="0.25">
      <c r="A93">
        <v>1020</v>
      </c>
      <c r="B93" t="s">
        <v>75</v>
      </c>
      <c r="C93" t="s">
        <v>197</v>
      </c>
      <c r="D93">
        <v>4</v>
      </c>
      <c r="E93">
        <v>23.55</v>
      </c>
      <c r="F93">
        <v>94.2</v>
      </c>
      <c r="G93" cm="1">
        <f t="array" ref="G93">SUMPRODUCT(IF($E93=$O$2,$D93*$P$2,IF($E93=$O$3,$D93*$P$3,IF($E93=$O$4,$D93*$P$4,IF($E93=$O$5,$D93*$P$5,IF($E93=$O$6,$D93*$P$6, IF($E93=$O$7,$D93*$P$7,IF($E93=$O$8,$D93*$P$8,IF($E93=$O$9,$D93*$P$9,IF($E93=$O$10,$D93*$P$10,IF($E93=$O$11,$D93*$P$11,IF($E93=$O$12,$D93*$P$12,IF($E93=$O$13,$D93*$P$13,IF($E93=$O$14,$D93*$P$14,IF($E93=$O$15,$D93*$P$15,IF($E93=$O$16,$D93*$P$16,IF($E93=$O$17,$D93*$P$17,IF($E93=$O$18,$D93*$P$18,IF($E93=$O$19,$D93*$P$19,IF($E93=$O$20,$D93*$P$20,IF($E93=$O$21,$D93*$P$21,IF($E93=$O$22,$D93*$P$22,IF($E93=$O$23,$D93*$P$23,IF($E93=$O$24,$D93*$P$24,IF($E93=$O$25,$D93*$P$25,IF($E93=$O$26,$D93*$P$26,IF($E93=$O$27,$D93*$P$27,IF($E93=$O$28,$D93*$P$28,IF($E93=$O$29,$D93*$P$29,IF($E93=$O$30,$D93*$P$30,IF($E93=$O$31,$D93*$P$31,IF($E93=$O$32,$D93*$P$32,IF($E93=$O$33,$D93*$P$33,IF($E93=$O$34,$D93*$P$34,IF($E93=$O$35,$D93*$P$35,n/a)))))))))))))))))))))))))))))))))))</f>
        <v>12</v>
      </c>
      <c r="H93" s="6">
        <f t="shared" si="4"/>
        <v>0</v>
      </c>
    </row>
    <row r="94" spans="1:8" x14ac:dyDescent="0.25">
      <c r="A94">
        <v>1020</v>
      </c>
      <c r="B94" t="s">
        <v>77</v>
      </c>
      <c r="C94" t="s">
        <v>197</v>
      </c>
      <c r="D94">
        <v>178</v>
      </c>
      <c r="E94">
        <v>7.85</v>
      </c>
      <c r="F94">
        <v>1397.3</v>
      </c>
      <c r="G94" cm="1">
        <f t="array" ref="G94">SUMPRODUCT(IF($E94=$O$2,$D94*$P$2,IF($E94=$O$3,$D94*$P$3,IF($E94=$O$4,$D94*$P$4,IF($E94=$O$5,$D94*$P$5,IF($E94=$O$6,$D94*$P$6, IF($E94=$O$7,$D94*$P$7,IF($E94=$O$8,$D94*$P$8,IF($E94=$O$9,$D94*$P$9,IF($E94=$O$10,$D94*$P$10,IF($E94=$O$11,$D94*$P$11,IF($E94=$O$12,$D94*$P$12,IF($E94=$O$13,$D94*$P$13,IF($E94=$O$14,$D94*$P$14,IF($E94=$O$15,$D94*$P$15,IF($E94=$O$16,$D94*$P$16,IF($E94=$O$17,$D94*$P$17,IF($E94=$O$18,$D94*$P$18,IF($E94=$O$19,$D94*$P$19,IF($E94=$O$20,$D94*$P$20,IF($E94=$O$21,$D94*$P$21,IF($E94=$O$22,$D94*$P$22,IF($E94=$O$23,$D94*$P$23,IF($E94=$O$24,$D94*$P$24,IF($E94=$O$25,$D94*$P$25,IF($E94=$O$26,$D94*$P$26,IF($E94=$O$27,$D94*$P$27,IF($E94=$O$28,$D94*$P$28,IF($E94=$O$29,$D94*$P$29,IF($E94=$O$30,$D94*$P$30,IF($E94=$O$31,$D94*$P$31,IF($E94=$O$32,$D94*$P$32,IF($E94=$O$33,$D94*$P$33,IF($E94=$O$34,$D94*$P$34,IF($E94=$O$35,$D94*$P$35,n/a)))))))))))))))))))))))))))))))))))</f>
        <v>178</v>
      </c>
      <c r="H94" s="6">
        <f t="shared" si="4"/>
        <v>0</v>
      </c>
    </row>
    <row r="95" spans="1:8" x14ac:dyDescent="0.25">
      <c r="A95">
        <v>1020</v>
      </c>
      <c r="B95" t="s">
        <v>77</v>
      </c>
      <c r="C95" t="s">
        <v>197</v>
      </c>
      <c r="D95">
        <v>1</v>
      </c>
      <c r="E95">
        <v>-7.85</v>
      </c>
      <c r="F95">
        <v>-7.85</v>
      </c>
      <c r="G95" cm="1">
        <f t="array" ref="G95">SUMPRODUCT(IF($E95=$O$2,$D95*$P$2,IF($E95=$O$3,$D95*$P$3,IF($E95=$O$4,$D95*$P$4,IF($E95=$O$5,$D95*$P$5,IF($E95=$O$6,$D95*$P$6, IF($E95=$O$7,$D95*$P$7,IF($E95=$O$8,$D95*$P$8,IF($E95=$O$9,$D95*$P$9,IF($E95=$O$10,$D95*$P$10,IF($E95=$O$11,$D95*$P$11,IF($E95=$O$12,$D95*$P$12,IF($E95=$O$13,$D95*$P$13,IF($E95=$O$14,$D95*$P$14,IF($E95=$O$15,$D95*$P$15,IF($E95=$O$16,$D95*$P$16,IF($E95=$O$17,$D95*$P$17,IF($E95=$O$18,$D95*$P$18,IF($E95=$O$19,$D95*$P$19,IF($E95=$O$20,$D95*$P$20,IF($E95=$O$21,$D95*$P$21,IF($E95=$O$22,$D95*$P$22,IF($E95=$O$23,$D95*$P$23,IF($E95=$O$24,$D95*$P$24,IF($E95=$O$25,$D95*$P$25,IF($E95=$O$26,$D95*$P$26,IF($E95=$O$27,$D95*$P$27,IF($E95=$O$28,$D95*$P$28,IF($E95=$O$29,$D95*$P$29,IF($E95=$O$30,$D95*$P$30,IF($E95=$O$31,$D95*$P$31,IF($E95=$O$32,$D95*$P$32,IF($E95=$O$33,$D95*$P$33,IF($E95=$O$34,$D95*$P$34,IF($E95=$O$35,$D95*$P$35,n/a)))))))))))))))))))))))))))))))))))</f>
        <v>-1</v>
      </c>
      <c r="H95" s="6">
        <f t="shared" si="4"/>
        <v>-10</v>
      </c>
    </row>
    <row r="96" spans="1:8" x14ac:dyDescent="0.25">
      <c r="A96">
        <v>1020</v>
      </c>
      <c r="B96" t="s">
        <v>79</v>
      </c>
      <c r="C96" t="s">
        <v>197</v>
      </c>
      <c r="D96">
        <v>195</v>
      </c>
      <c r="E96">
        <v>7.85</v>
      </c>
      <c r="F96">
        <v>1530.75</v>
      </c>
      <c r="G96" cm="1">
        <f t="array" ref="G96">SUMPRODUCT(IF($E96=$O$2,$D96*$P$2,IF($E96=$O$3,$D96*$P$3,IF($E96=$O$4,$D96*$P$4,IF($E96=$O$5,$D96*$P$5,IF($E96=$O$6,$D96*$P$6, IF($E96=$O$7,$D96*$P$7,IF($E96=$O$8,$D96*$P$8,IF($E96=$O$9,$D96*$P$9,IF($E96=$O$10,$D96*$P$10,IF($E96=$O$11,$D96*$P$11,IF($E96=$O$12,$D96*$P$12,IF($E96=$O$13,$D96*$P$13,IF($E96=$O$14,$D96*$P$14,IF($E96=$O$15,$D96*$P$15,IF($E96=$O$16,$D96*$P$16,IF($E96=$O$17,$D96*$P$17,IF($E96=$O$18,$D96*$P$18,IF($E96=$O$19,$D96*$P$19,IF($E96=$O$20,$D96*$P$20,IF($E96=$O$21,$D96*$P$21,IF($E96=$O$22,$D96*$P$22,IF($E96=$O$23,$D96*$P$23,IF($E96=$O$24,$D96*$P$24,IF($E96=$O$25,$D96*$P$25,IF($E96=$O$26,$D96*$P$26,IF($E96=$O$27,$D96*$P$27,IF($E96=$O$28,$D96*$P$28,IF($E96=$O$29,$D96*$P$29,IF($E96=$O$30,$D96*$P$30,IF($E96=$O$31,$D96*$P$31,IF($E96=$O$32,$D96*$P$32,IF($E96=$O$33,$D96*$P$33,IF($E96=$O$34,$D96*$P$34,IF($E96=$O$35,$D96*$P$35,n/a)))))))))))))))))))))))))))))))))))</f>
        <v>195</v>
      </c>
      <c r="H96" s="6">
        <f t="shared" si="4"/>
        <v>0</v>
      </c>
    </row>
    <row r="97" spans="1:8" x14ac:dyDescent="0.25">
      <c r="A97">
        <v>1020</v>
      </c>
      <c r="B97" t="s">
        <v>79</v>
      </c>
      <c r="C97" t="s">
        <v>197</v>
      </c>
      <c r="D97">
        <v>3</v>
      </c>
      <c r="E97">
        <v>15.7</v>
      </c>
      <c r="F97">
        <v>47.1</v>
      </c>
      <c r="G97" cm="1">
        <f t="array" ref="G97">SUMPRODUCT(IF($E97=$O$2,$D97*$P$2,IF($E97=$O$3,$D97*$P$3,IF($E97=$O$4,$D97*$P$4,IF($E97=$O$5,$D97*$P$5,IF($E97=$O$6,$D97*$P$6, IF($E97=$O$7,$D97*$P$7,IF($E97=$O$8,$D97*$P$8,IF($E97=$O$9,$D97*$P$9,IF($E97=$O$10,$D97*$P$10,IF($E97=$O$11,$D97*$P$11,IF($E97=$O$12,$D97*$P$12,IF($E97=$O$13,$D97*$P$13,IF($E97=$O$14,$D97*$P$14,IF($E97=$O$15,$D97*$P$15,IF($E97=$O$16,$D97*$P$16,IF($E97=$O$17,$D97*$P$17,IF($E97=$O$18,$D97*$P$18,IF($E97=$O$19,$D97*$P$19,IF($E97=$O$20,$D97*$P$20,IF($E97=$O$21,$D97*$P$21,IF($E97=$O$22,$D97*$P$22,IF($E97=$O$23,$D97*$P$23,IF($E97=$O$24,$D97*$P$24,IF($E97=$O$25,$D97*$P$25,IF($E97=$O$26,$D97*$P$26,IF($E97=$O$27,$D97*$P$27,IF($E97=$O$28,$D97*$P$28,IF($E97=$O$29,$D97*$P$29,IF($E97=$O$30,$D97*$P$30,IF($E97=$O$31,$D97*$P$31,IF($E97=$O$32,$D97*$P$32,IF($E97=$O$33,$D97*$P$33,IF($E97=$O$34,$D97*$P$34,IF($E97=$O$35,$D97*$P$35,n/a)))))))))))))))))))))))))))))))))))</f>
        <v>6</v>
      </c>
      <c r="H97" s="6">
        <f t="shared" si="4"/>
        <v>0</v>
      </c>
    </row>
    <row r="98" spans="1:8" x14ac:dyDescent="0.25">
      <c r="A98">
        <v>1020</v>
      </c>
      <c r="B98" t="s">
        <v>81</v>
      </c>
      <c r="C98" t="s">
        <v>197</v>
      </c>
      <c r="D98">
        <v>108</v>
      </c>
      <c r="E98">
        <v>7.85</v>
      </c>
      <c r="F98">
        <v>847.8</v>
      </c>
      <c r="G98" cm="1">
        <f t="array" ref="G98">SUMPRODUCT(IF($E98=$O$2,$D98*$P$2,IF($E98=$O$3,$D98*$P$3,IF($E98=$O$4,$D98*$P$4,IF($E98=$O$5,$D98*$P$5,IF($E98=$O$6,$D98*$P$6, IF($E98=$O$7,$D98*$P$7,IF($E98=$O$8,$D98*$P$8,IF($E98=$O$9,$D98*$P$9,IF($E98=$O$10,$D98*$P$10,IF($E98=$O$11,$D98*$P$11,IF($E98=$O$12,$D98*$P$12,IF($E98=$O$13,$D98*$P$13,IF($E98=$O$14,$D98*$P$14,IF($E98=$O$15,$D98*$P$15,IF($E98=$O$16,$D98*$P$16,IF($E98=$O$17,$D98*$P$17,IF($E98=$O$18,$D98*$P$18,IF($E98=$O$19,$D98*$P$19,IF($E98=$O$20,$D98*$P$20,IF($E98=$O$21,$D98*$P$21,IF($E98=$O$22,$D98*$P$22,IF($E98=$O$23,$D98*$P$23,IF($E98=$O$24,$D98*$P$24,IF($E98=$O$25,$D98*$P$25,IF($E98=$O$26,$D98*$P$26,IF($E98=$O$27,$D98*$P$27,IF($E98=$O$28,$D98*$P$28,IF($E98=$O$29,$D98*$P$29,IF($E98=$O$30,$D98*$P$30,IF($E98=$O$31,$D98*$P$31,IF($E98=$O$32,$D98*$P$32,IF($E98=$O$33,$D98*$P$33,IF($E98=$O$34,$D98*$P$34,IF($E98=$O$35,$D98*$P$35,n/a)))))))))))))))))))))))))))))))))))</f>
        <v>108</v>
      </c>
      <c r="H98" s="6">
        <f t="shared" si="4"/>
        <v>0</v>
      </c>
    </row>
    <row r="99" spans="1:8" x14ac:dyDescent="0.25">
      <c r="A99">
        <v>1020</v>
      </c>
      <c r="B99" t="s">
        <v>81</v>
      </c>
      <c r="C99" t="s">
        <v>197</v>
      </c>
      <c r="D99">
        <v>434</v>
      </c>
      <c r="E99">
        <v>7.85</v>
      </c>
      <c r="F99">
        <v>3406.9</v>
      </c>
      <c r="G99" cm="1">
        <f t="array" ref="G99">SUMPRODUCT(IF($E99=$O$2,$D99*$P$2,IF($E99=$O$3,$D99*$P$3,IF($E99=$O$4,$D99*$P$4,IF($E99=$O$5,$D99*$P$5,IF($E99=$O$6,$D99*$P$6, IF($E99=$O$7,$D99*$P$7,IF($E99=$O$8,$D99*$P$8,IF($E99=$O$9,$D99*$P$9,IF($E99=$O$10,$D99*$P$10,IF($E99=$O$11,$D99*$P$11,IF($E99=$O$12,$D99*$P$12,IF($E99=$O$13,$D99*$P$13,IF($E99=$O$14,$D99*$P$14,IF($E99=$O$15,$D99*$P$15,IF($E99=$O$16,$D99*$P$16,IF($E99=$O$17,$D99*$P$17,IF($E99=$O$18,$D99*$P$18,IF($E99=$O$19,$D99*$P$19,IF($E99=$O$20,$D99*$P$20,IF($E99=$O$21,$D99*$P$21,IF($E99=$O$22,$D99*$P$22,IF($E99=$O$23,$D99*$P$23,IF($E99=$O$24,$D99*$P$24,IF($E99=$O$25,$D99*$P$25,IF($E99=$O$26,$D99*$P$26,IF($E99=$O$27,$D99*$P$27,IF($E99=$O$28,$D99*$P$28,IF($E99=$O$29,$D99*$P$29,IF($E99=$O$30,$D99*$P$30,IF($E99=$O$31,$D99*$P$31,IF($E99=$O$32,$D99*$P$32,IF($E99=$O$33,$D99*$P$33,IF($E99=$O$34,$D99*$P$34,IF($E99=$O$35,$D99*$P$35,n/a)))))))))))))))))))))))))))))))))))</f>
        <v>434</v>
      </c>
      <c r="H99" s="6">
        <f t="shared" si="4"/>
        <v>0</v>
      </c>
    </row>
    <row r="100" spans="1:8" x14ac:dyDescent="0.25">
      <c r="A100">
        <v>1020</v>
      </c>
      <c r="B100" t="s">
        <v>81</v>
      </c>
      <c r="C100" t="s">
        <v>197</v>
      </c>
      <c r="D100">
        <v>2</v>
      </c>
      <c r="E100">
        <v>15.7</v>
      </c>
      <c r="F100">
        <v>31.4</v>
      </c>
      <c r="G100" cm="1">
        <f t="array" ref="G100">SUMPRODUCT(IF($E100=$O$2,$D100*$P$2,IF($E100=$O$3,$D100*$P$3,IF($E100=$O$4,$D100*$P$4,IF($E100=$O$5,$D100*$P$5,IF($E100=$O$6,$D100*$P$6, IF($E100=$O$7,$D100*$P$7,IF($E100=$O$8,$D100*$P$8,IF($E100=$O$9,$D100*$P$9,IF($E100=$O$10,$D100*$P$10,IF($E100=$O$11,$D100*$P$11,IF($E100=$O$12,$D100*$P$12,IF($E100=$O$13,$D100*$P$13,IF($E100=$O$14,$D100*$P$14,IF($E100=$O$15,$D100*$P$15,IF($E100=$O$16,$D100*$P$16,IF($E100=$O$17,$D100*$P$17,IF($E100=$O$18,$D100*$P$18,IF($E100=$O$19,$D100*$P$19,IF($E100=$O$20,$D100*$P$20,IF($E100=$O$21,$D100*$P$21,IF($E100=$O$22,$D100*$P$22,IF($E100=$O$23,$D100*$P$23,IF($E100=$O$24,$D100*$P$24,IF($E100=$O$25,$D100*$P$25,IF($E100=$O$26,$D100*$P$26,IF($E100=$O$27,$D100*$P$27,IF($E100=$O$28,$D100*$P$28,IF($E100=$O$29,$D100*$P$29,IF($E100=$O$30,$D100*$P$30,IF($E100=$O$31,$D100*$P$31,IF($E100=$O$32,$D100*$P$32,IF($E100=$O$33,$D100*$P$33,IF($E100=$O$34,$D100*$P$34,IF($E100=$O$35,$D100*$P$35,n/a)))))))))))))))))))))))))))))))))))</f>
        <v>4</v>
      </c>
      <c r="H100" s="6">
        <f t="shared" si="4"/>
        <v>0</v>
      </c>
    </row>
    <row r="101" spans="1:8" x14ac:dyDescent="0.25">
      <c r="A101">
        <v>1020</v>
      </c>
      <c r="B101" t="s">
        <v>81</v>
      </c>
      <c r="C101" t="s">
        <v>197</v>
      </c>
      <c r="D101">
        <v>1</v>
      </c>
      <c r="E101">
        <v>15.7</v>
      </c>
      <c r="F101">
        <v>15.7</v>
      </c>
      <c r="G101" cm="1">
        <f t="array" ref="G101">SUMPRODUCT(IF($E101=$O$2,$D101*$P$2,IF($E101=$O$3,$D101*$P$3,IF($E101=$O$4,$D101*$P$4,IF($E101=$O$5,$D101*$P$5,IF($E101=$O$6,$D101*$P$6, IF($E101=$O$7,$D101*$P$7,IF($E101=$O$8,$D101*$P$8,IF($E101=$O$9,$D101*$P$9,IF($E101=$O$10,$D101*$P$10,IF($E101=$O$11,$D101*$P$11,IF($E101=$O$12,$D101*$P$12,IF($E101=$O$13,$D101*$P$13,IF($E101=$O$14,$D101*$P$14,IF($E101=$O$15,$D101*$P$15,IF($E101=$O$16,$D101*$P$16,IF($E101=$O$17,$D101*$P$17,IF($E101=$O$18,$D101*$P$18,IF($E101=$O$19,$D101*$P$19,IF($E101=$O$20,$D101*$P$20,IF($E101=$O$21,$D101*$P$21,IF($E101=$O$22,$D101*$P$22,IF($E101=$O$23,$D101*$P$23,IF($E101=$O$24,$D101*$P$24,IF($E101=$O$25,$D101*$P$25,IF($E101=$O$26,$D101*$P$26,IF($E101=$O$27,$D101*$P$27,IF($E101=$O$28,$D101*$P$28,IF($E101=$O$29,$D101*$P$29,IF($E101=$O$30,$D101*$P$30,IF($E101=$O$31,$D101*$P$31,IF($E101=$O$32,$D101*$P$32,IF($E101=$O$33,$D101*$P$33,IF($E101=$O$34,$D101*$P$34,IF($E101=$O$35,$D101*$P$35,n/a)))))))))))))))))))))))))))))))))))</f>
        <v>2</v>
      </c>
      <c r="H101" s="6">
        <f t="shared" si="4"/>
        <v>0</v>
      </c>
    </row>
    <row r="102" spans="1:8" x14ac:dyDescent="0.25">
      <c r="A102">
        <v>1020</v>
      </c>
      <c r="B102" t="s">
        <v>180</v>
      </c>
      <c r="C102" t="s">
        <v>197</v>
      </c>
      <c r="D102">
        <v>131</v>
      </c>
      <c r="E102">
        <v>6.8</v>
      </c>
      <c r="F102">
        <v>890.8</v>
      </c>
      <c r="G102" cm="1">
        <f t="array" ref="G102">SUMPRODUCT(IF($E102=$O$2,$D102*$P$2,IF($E102=$O$3,$D102*$P$3,IF($E102=$O$4,$D102*$P$4,IF($E102=$O$5,$D102*$P$5,IF($E102=$O$6,$D102*$P$6, IF($E102=$O$7,$D102*$P$7,IF($E102=$O$8,$D102*$P$8,IF($E102=$O$9,$D102*$P$9,IF($E102=$O$10,$D102*$P$10,IF($E102=$O$11,$D102*$P$11,IF($E102=$O$12,$D102*$P$12,IF($E102=$O$13,$D102*$P$13,IF($E102=$O$14,$D102*$P$14,IF($E102=$O$15,$D102*$P$15,IF($E102=$O$16,$D102*$P$16,IF($E102=$O$17,$D102*$P$17,IF($E102=$O$18,$D102*$P$18,IF($E102=$O$19,$D102*$P$19,IF($E102=$O$20,$D102*$P$20,IF($E102=$O$21,$D102*$P$21,IF($E102=$O$22,$D102*$P$22,IF($E102=$O$23,$D102*$P$23,IF($E102=$O$24,$D102*$P$24,IF($E102=$O$25,$D102*$P$25,IF($E102=$O$26,$D102*$P$26,IF($E102=$O$27,$D102*$P$27,IF($E102=$O$28,$D102*$P$28,IF($E102=$O$29,$D102*$P$29,IF($E102=$O$30,$D102*$P$30,IF($E102=$O$31,$D102*$P$31,IF($E102=$O$32,$D102*$P$32,IF($E102=$O$33,$D102*$P$33,IF($E102=$O$34,$D102*$P$34,IF($E102=$O$35,$D102*$P$35,n/a)))))))))))))))))))))))))))))))))))</f>
        <v>131</v>
      </c>
      <c r="H102" s="6">
        <f t="shared" si="4"/>
        <v>0</v>
      </c>
    </row>
    <row r="103" spans="1:8" x14ac:dyDescent="0.25">
      <c r="A103">
        <v>1020</v>
      </c>
      <c r="B103" t="s">
        <v>83</v>
      </c>
      <c r="C103" t="s">
        <v>197</v>
      </c>
      <c r="D103">
        <v>669</v>
      </c>
      <c r="E103">
        <v>7.85</v>
      </c>
      <c r="F103">
        <v>5251.65</v>
      </c>
      <c r="G103" cm="1">
        <f t="array" ref="G103">SUMPRODUCT(IF($E103=$O$2,$D103*$P$2,IF($E103=$O$3,$D103*$P$3,IF($E103=$O$4,$D103*$P$4,IF($E103=$O$5,$D103*$P$5,IF($E103=$O$6,$D103*$P$6, IF($E103=$O$7,$D103*$P$7,IF($E103=$O$8,$D103*$P$8,IF($E103=$O$9,$D103*$P$9,IF($E103=$O$10,$D103*$P$10,IF($E103=$O$11,$D103*$P$11,IF($E103=$O$12,$D103*$P$12,IF($E103=$O$13,$D103*$P$13,IF($E103=$O$14,$D103*$P$14,IF($E103=$O$15,$D103*$P$15,IF($E103=$O$16,$D103*$P$16,IF($E103=$O$17,$D103*$P$17,IF($E103=$O$18,$D103*$P$18,IF($E103=$O$19,$D103*$P$19,IF($E103=$O$20,$D103*$P$20,IF($E103=$O$21,$D103*$P$21,IF($E103=$O$22,$D103*$P$22,IF($E103=$O$23,$D103*$P$23,IF($E103=$O$24,$D103*$P$24,IF($E103=$O$25,$D103*$P$25,IF($E103=$O$26,$D103*$P$26,IF($E103=$O$27,$D103*$P$27,IF($E103=$O$28,$D103*$P$28,IF($E103=$O$29,$D103*$P$29,IF($E103=$O$30,$D103*$P$30,IF($E103=$O$31,$D103*$P$31,IF($E103=$O$32,$D103*$P$32,IF($E103=$O$33,$D103*$P$33,IF($E103=$O$34,$D103*$P$34,IF($E103=$O$35,$D103*$P$35,n/a)))))))))))))))))))))))))))))))))))</f>
        <v>669</v>
      </c>
      <c r="H103" s="6">
        <f t="shared" si="4"/>
        <v>0</v>
      </c>
    </row>
    <row r="104" spans="1:8" x14ac:dyDescent="0.25">
      <c r="A104">
        <v>1020</v>
      </c>
      <c r="B104" t="s">
        <v>83</v>
      </c>
      <c r="C104" t="s">
        <v>197</v>
      </c>
      <c r="D104">
        <v>3</v>
      </c>
      <c r="E104">
        <v>15.7</v>
      </c>
      <c r="F104">
        <v>47.1</v>
      </c>
      <c r="G104" cm="1">
        <f t="array" ref="G104">SUMPRODUCT(IF($E104=$O$2,$D104*$P$2,IF($E104=$O$3,$D104*$P$3,IF($E104=$O$4,$D104*$P$4,IF($E104=$O$5,$D104*$P$5,IF($E104=$O$6,$D104*$P$6, IF($E104=$O$7,$D104*$P$7,IF($E104=$O$8,$D104*$P$8,IF($E104=$O$9,$D104*$P$9,IF($E104=$O$10,$D104*$P$10,IF($E104=$O$11,$D104*$P$11,IF($E104=$O$12,$D104*$P$12,IF($E104=$O$13,$D104*$P$13,IF($E104=$O$14,$D104*$P$14,IF($E104=$O$15,$D104*$P$15,IF($E104=$O$16,$D104*$P$16,IF($E104=$O$17,$D104*$P$17,IF($E104=$O$18,$D104*$P$18,IF($E104=$O$19,$D104*$P$19,IF($E104=$O$20,$D104*$P$20,IF($E104=$O$21,$D104*$P$21,IF($E104=$O$22,$D104*$P$22,IF($E104=$O$23,$D104*$P$23,IF($E104=$O$24,$D104*$P$24,IF($E104=$O$25,$D104*$P$25,IF($E104=$O$26,$D104*$P$26,IF($E104=$O$27,$D104*$P$27,IF($E104=$O$28,$D104*$P$28,IF($E104=$O$29,$D104*$P$29,IF($E104=$O$30,$D104*$P$30,IF($E104=$O$31,$D104*$P$31,IF($E104=$O$32,$D104*$P$32,IF($E104=$O$33,$D104*$P$33,IF($E104=$O$34,$D104*$P$34,IF($E104=$O$35,$D104*$P$35,n/a)))))))))))))))))))))))))))))))))))</f>
        <v>6</v>
      </c>
      <c r="H104" s="6">
        <f t="shared" ref="H104:H140" si="5">IF($E104&lt;0,$G104*10,0)</f>
        <v>0</v>
      </c>
    </row>
    <row r="105" spans="1:8" x14ac:dyDescent="0.25">
      <c r="A105">
        <v>1020</v>
      </c>
      <c r="B105" t="s">
        <v>83</v>
      </c>
      <c r="C105" t="s">
        <v>197</v>
      </c>
      <c r="D105">
        <v>1</v>
      </c>
      <c r="E105">
        <v>-7.85</v>
      </c>
      <c r="F105">
        <v>-7.85</v>
      </c>
      <c r="G105" cm="1">
        <f t="array" ref="G105">SUMPRODUCT(IF($E105=$O$2,$D105*$P$2,IF($E105=$O$3,$D105*$P$3,IF($E105=$O$4,$D105*$P$4,IF($E105=$O$5,$D105*$P$5,IF($E105=$O$6,$D105*$P$6, IF($E105=$O$7,$D105*$P$7,IF($E105=$O$8,$D105*$P$8,IF($E105=$O$9,$D105*$P$9,IF($E105=$O$10,$D105*$P$10,IF($E105=$O$11,$D105*$P$11,IF($E105=$O$12,$D105*$P$12,IF($E105=$O$13,$D105*$P$13,IF($E105=$O$14,$D105*$P$14,IF($E105=$O$15,$D105*$P$15,IF($E105=$O$16,$D105*$P$16,IF($E105=$O$17,$D105*$P$17,IF($E105=$O$18,$D105*$P$18,IF($E105=$O$19,$D105*$P$19,IF($E105=$O$20,$D105*$P$20,IF($E105=$O$21,$D105*$P$21,IF($E105=$O$22,$D105*$P$22,IF($E105=$O$23,$D105*$P$23,IF($E105=$O$24,$D105*$P$24,IF($E105=$O$25,$D105*$P$25,IF($E105=$O$26,$D105*$P$26,IF($E105=$O$27,$D105*$P$27,IF($E105=$O$28,$D105*$P$28,IF($E105=$O$29,$D105*$P$29,IF($E105=$O$30,$D105*$P$30,IF($E105=$O$31,$D105*$P$31,IF($E105=$O$32,$D105*$P$32,IF($E105=$O$33,$D105*$P$33,IF($E105=$O$34,$D105*$P$34,IF($E105=$O$35,$D105*$P$35,n/a)))))))))))))))))))))))))))))))))))</f>
        <v>-1</v>
      </c>
      <c r="H105" s="6">
        <f t="shared" si="5"/>
        <v>-10</v>
      </c>
    </row>
    <row r="106" spans="1:8" x14ac:dyDescent="0.25">
      <c r="A106">
        <v>1020</v>
      </c>
      <c r="B106" t="s">
        <v>85</v>
      </c>
      <c r="C106" t="s">
        <v>197</v>
      </c>
      <c r="D106">
        <v>449</v>
      </c>
      <c r="E106">
        <v>7.85</v>
      </c>
      <c r="F106">
        <v>3524.65</v>
      </c>
      <c r="G106" cm="1">
        <f t="array" ref="G106">SUMPRODUCT(IF($E106=$O$2,$D106*$P$2,IF($E106=$O$3,$D106*$P$3,IF($E106=$O$4,$D106*$P$4,IF($E106=$O$5,$D106*$P$5,IF($E106=$O$6,$D106*$P$6, IF($E106=$O$7,$D106*$P$7,IF($E106=$O$8,$D106*$P$8,IF($E106=$O$9,$D106*$P$9,IF($E106=$O$10,$D106*$P$10,IF($E106=$O$11,$D106*$P$11,IF($E106=$O$12,$D106*$P$12,IF($E106=$O$13,$D106*$P$13,IF($E106=$O$14,$D106*$P$14,IF($E106=$O$15,$D106*$P$15,IF($E106=$O$16,$D106*$P$16,IF($E106=$O$17,$D106*$P$17,IF($E106=$O$18,$D106*$P$18,IF($E106=$O$19,$D106*$P$19,IF($E106=$O$20,$D106*$P$20,IF($E106=$O$21,$D106*$P$21,IF($E106=$O$22,$D106*$P$22,IF($E106=$O$23,$D106*$P$23,IF($E106=$O$24,$D106*$P$24,IF($E106=$O$25,$D106*$P$25,IF($E106=$O$26,$D106*$P$26,IF($E106=$O$27,$D106*$P$27,IF($E106=$O$28,$D106*$P$28,IF($E106=$O$29,$D106*$P$29,IF($E106=$O$30,$D106*$P$30,IF($E106=$O$31,$D106*$P$31,IF($E106=$O$32,$D106*$P$32,IF($E106=$O$33,$D106*$P$33,IF($E106=$O$34,$D106*$P$34,IF($E106=$O$35,$D106*$P$35,n/a)))))))))))))))))))))))))))))))))))</f>
        <v>449</v>
      </c>
      <c r="H106" s="6">
        <f t="shared" si="5"/>
        <v>0</v>
      </c>
    </row>
    <row r="107" spans="1:8" x14ac:dyDescent="0.25">
      <c r="A107">
        <v>1020</v>
      </c>
      <c r="B107" t="s">
        <v>181</v>
      </c>
      <c r="C107" t="s">
        <v>197</v>
      </c>
      <c r="D107">
        <v>56</v>
      </c>
      <c r="E107">
        <v>6.8</v>
      </c>
      <c r="F107">
        <v>380.8</v>
      </c>
      <c r="G107" cm="1">
        <f t="array" ref="G107">SUMPRODUCT(IF($E107=$O$2,$D107*$P$2,IF($E107=$O$3,$D107*$P$3,IF($E107=$O$4,$D107*$P$4,IF($E107=$O$5,$D107*$P$5,IF($E107=$O$6,$D107*$P$6, IF($E107=$O$7,$D107*$P$7,IF($E107=$O$8,$D107*$P$8,IF($E107=$O$9,$D107*$P$9,IF($E107=$O$10,$D107*$P$10,IF($E107=$O$11,$D107*$P$11,IF($E107=$O$12,$D107*$P$12,IF($E107=$O$13,$D107*$P$13,IF($E107=$O$14,$D107*$P$14,IF($E107=$O$15,$D107*$P$15,IF($E107=$O$16,$D107*$P$16,IF($E107=$O$17,$D107*$P$17,IF($E107=$O$18,$D107*$P$18,IF($E107=$O$19,$D107*$P$19,IF($E107=$O$20,$D107*$P$20,IF($E107=$O$21,$D107*$P$21,IF($E107=$O$22,$D107*$P$22,IF($E107=$O$23,$D107*$P$23,IF($E107=$O$24,$D107*$P$24,IF($E107=$O$25,$D107*$P$25,IF($E107=$O$26,$D107*$P$26,IF($E107=$O$27,$D107*$P$27,IF($E107=$O$28,$D107*$P$28,IF($E107=$O$29,$D107*$P$29,IF($E107=$O$30,$D107*$P$30,IF($E107=$O$31,$D107*$P$31,IF($E107=$O$32,$D107*$P$32,IF($E107=$O$33,$D107*$P$33,IF($E107=$O$34,$D107*$P$34,IF($E107=$O$35,$D107*$P$35,n/a)))))))))))))))))))))))))))))))))))</f>
        <v>56</v>
      </c>
      <c r="H107" s="6">
        <f t="shared" si="5"/>
        <v>0</v>
      </c>
    </row>
    <row r="108" spans="1:8" x14ac:dyDescent="0.25">
      <c r="A108">
        <v>1020</v>
      </c>
      <c r="B108" t="s">
        <v>87</v>
      </c>
      <c r="C108" t="s">
        <v>197</v>
      </c>
      <c r="D108">
        <v>21</v>
      </c>
      <c r="E108">
        <v>7.85</v>
      </c>
      <c r="F108">
        <v>164.85</v>
      </c>
      <c r="G108" cm="1">
        <f t="array" ref="G108">SUMPRODUCT(IF($E108=$O$2,$D108*$P$2,IF($E108=$O$3,$D108*$P$3,IF($E108=$O$4,$D108*$P$4,IF($E108=$O$5,$D108*$P$5,IF($E108=$O$6,$D108*$P$6, IF($E108=$O$7,$D108*$P$7,IF($E108=$O$8,$D108*$P$8,IF($E108=$O$9,$D108*$P$9,IF($E108=$O$10,$D108*$P$10,IF($E108=$O$11,$D108*$P$11,IF($E108=$O$12,$D108*$P$12,IF($E108=$O$13,$D108*$P$13,IF($E108=$O$14,$D108*$P$14,IF($E108=$O$15,$D108*$P$15,IF($E108=$O$16,$D108*$P$16,IF($E108=$O$17,$D108*$P$17,IF($E108=$O$18,$D108*$P$18,IF($E108=$O$19,$D108*$P$19,IF($E108=$O$20,$D108*$P$20,IF($E108=$O$21,$D108*$P$21,IF($E108=$O$22,$D108*$P$22,IF($E108=$O$23,$D108*$P$23,IF($E108=$O$24,$D108*$P$24,IF($E108=$O$25,$D108*$P$25,IF($E108=$O$26,$D108*$P$26,IF($E108=$O$27,$D108*$P$27,IF($E108=$O$28,$D108*$P$28,IF($E108=$O$29,$D108*$P$29,IF($E108=$O$30,$D108*$P$30,IF($E108=$O$31,$D108*$P$31,IF($E108=$O$32,$D108*$P$32,IF($E108=$O$33,$D108*$P$33,IF($E108=$O$34,$D108*$P$34,IF($E108=$O$35,$D108*$P$35,n/a)))))))))))))))))))))))))))))))))))</f>
        <v>21</v>
      </c>
      <c r="H108" s="6">
        <f t="shared" si="5"/>
        <v>0</v>
      </c>
    </row>
    <row r="109" spans="1:8" x14ac:dyDescent="0.25">
      <c r="A109">
        <v>1020</v>
      </c>
      <c r="B109" t="s">
        <v>182</v>
      </c>
      <c r="C109" t="s">
        <v>197</v>
      </c>
      <c r="D109">
        <v>3</v>
      </c>
      <c r="E109">
        <v>12.8</v>
      </c>
      <c r="F109">
        <v>38.4</v>
      </c>
      <c r="G109" cm="1">
        <f t="array" ref="G109">SUMPRODUCT(IF($E109=$O$2,$D109*$P$2,IF($E109=$O$3,$D109*$P$3,IF($E109=$O$4,$D109*$P$4,IF($E109=$O$5,$D109*$P$5,IF($E109=$O$6,$D109*$P$6, IF($E109=$O$7,$D109*$P$7,IF($E109=$O$8,$D109*$P$8,IF($E109=$O$9,$D109*$P$9,IF($E109=$O$10,$D109*$P$10,IF($E109=$O$11,$D109*$P$11,IF($E109=$O$12,$D109*$P$12,IF($E109=$O$13,$D109*$P$13,IF($E109=$O$14,$D109*$P$14,IF($E109=$O$15,$D109*$P$15,IF($E109=$O$16,$D109*$P$16,IF($E109=$O$17,$D109*$P$17,IF($E109=$O$18,$D109*$P$18,IF($E109=$O$19,$D109*$P$19,IF($E109=$O$20,$D109*$P$20,IF($E109=$O$21,$D109*$P$21,IF($E109=$O$22,$D109*$P$22,IF($E109=$O$23,$D109*$P$23,IF($E109=$O$24,$D109*$P$24,IF($E109=$O$25,$D109*$P$25,IF($E109=$O$26,$D109*$P$26,IF($E109=$O$27,$D109*$P$27,IF($E109=$O$28,$D109*$P$28,IF($E109=$O$29,$D109*$P$29,IF($E109=$O$30,$D109*$P$30,IF($E109=$O$31,$D109*$P$31,IF($E109=$O$32,$D109*$P$32,IF($E109=$O$33,$D109*$P$33,IF($E109=$O$34,$D109*$P$34,IF($E109=$O$35,$D109*$P$35,n/a)))))))))))))))))))))))))))))))))))</f>
        <v>3</v>
      </c>
      <c r="H109" s="6">
        <f t="shared" si="5"/>
        <v>0</v>
      </c>
    </row>
    <row r="110" spans="1:8" x14ac:dyDescent="0.25">
      <c r="A110">
        <v>1020</v>
      </c>
      <c r="B110" t="s">
        <v>183</v>
      </c>
      <c r="C110" t="s">
        <v>197</v>
      </c>
      <c r="D110">
        <v>5</v>
      </c>
      <c r="E110">
        <v>14.65</v>
      </c>
      <c r="F110">
        <v>73.25</v>
      </c>
      <c r="G110" cm="1">
        <f t="array" ref="G110">SUMPRODUCT(IF($E110=$O$2,$D110*$P$2,IF($E110=$O$3,$D110*$P$3,IF($E110=$O$4,$D110*$P$4,IF($E110=$O$5,$D110*$P$5,IF($E110=$O$6,$D110*$P$6, IF($E110=$O$7,$D110*$P$7,IF($E110=$O$8,$D110*$P$8,IF($E110=$O$9,$D110*$P$9,IF($E110=$O$10,$D110*$P$10,IF($E110=$O$11,$D110*$P$11,IF($E110=$O$12,$D110*$P$12,IF($E110=$O$13,$D110*$P$13,IF($E110=$O$14,$D110*$P$14,IF($E110=$O$15,$D110*$P$15,IF($E110=$O$16,$D110*$P$16,IF($E110=$O$17,$D110*$P$17,IF($E110=$O$18,$D110*$P$18,IF($E110=$O$19,$D110*$P$19,IF($E110=$O$20,$D110*$P$20,IF($E110=$O$21,$D110*$P$21,IF($E110=$O$22,$D110*$P$22,IF($E110=$O$23,$D110*$P$23,IF($E110=$O$24,$D110*$P$24,IF($E110=$O$25,$D110*$P$25,IF($E110=$O$26,$D110*$P$26,IF($E110=$O$27,$D110*$P$27,IF($E110=$O$28,$D110*$P$28,IF($E110=$O$29,$D110*$P$29,IF($E110=$O$30,$D110*$P$30,IF($E110=$O$31,$D110*$P$31,IF($E110=$O$32,$D110*$P$32,IF($E110=$O$33,$D110*$P$33,IF($E110=$O$34,$D110*$P$34,IF($E110=$O$35,$D110*$P$35,n/a)))))))))))))))))))))))))))))))))))</f>
        <v>5</v>
      </c>
      <c r="H110" s="6">
        <f t="shared" si="5"/>
        <v>0</v>
      </c>
    </row>
    <row r="111" spans="1:8" x14ac:dyDescent="0.25">
      <c r="A111">
        <v>1020</v>
      </c>
      <c r="B111" t="s">
        <v>87</v>
      </c>
      <c r="C111" t="s">
        <v>197</v>
      </c>
      <c r="D111">
        <v>2</v>
      </c>
      <c r="E111">
        <v>15.7</v>
      </c>
      <c r="F111">
        <v>31.4</v>
      </c>
      <c r="G111" cm="1">
        <f t="array" ref="G111">SUMPRODUCT(IF($E111=$O$2,$D111*$P$2,IF($E111=$O$3,$D111*$P$3,IF($E111=$O$4,$D111*$P$4,IF($E111=$O$5,$D111*$P$5,IF($E111=$O$6,$D111*$P$6, IF($E111=$O$7,$D111*$P$7,IF($E111=$O$8,$D111*$P$8,IF($E111=$O$9,$D111*$P$9,IF($E111=$O$10,$D111*$P$10,IF($E111=$O$11,$D111*$P$11,IF($E111=$O$12,$D111*$P$12,IF($E111=$O$13,$D111*$P$13,IF($E111=$O$14,$D111*$P$14,IF($E111=$O$15,$D111*$P$15,IF($E111=$O$16,$D111*$P$16,IF($E111=$O$17,$D111*$P$17,IF($E111=$O$18,$D111*$P$18,IF($E111=$O$19,$D111*$P$19,IF($E111=$O$20,$D111*$P$20,IF($E111=$O$21,$D111*$P$21,IF($E111=$O$22,$D111*$P$22,IF($E111=$O$23,$D111*$P$23,IF($E111=$O$24,$D111*$P$24,IF($E111=$O$25,$D111*$P$25,IF($E111=$O$26,$D111*$P$26,IF($E111=$O$27,$D111*$P$27,IF($E111=$O$28,$D111*$P$28,IF($E111=$O$29,$D111*$P$29,IF($E111=$O$30,$D111*$P$30,IF($E111=$O$31,$D111*$P$31,IF($E111=$O$32,$D111*$P$32,IF($E111=$O$33,$D111*$P$33,IF($E111=$O$34,$D111*$P$34,IF($E111=$O$35,$D111*$P$35,n/a)))))))))))))))))))))))))))))))))))</f>
        <v>4</v>
      </c>
      <c r="H111" s="6">
        <f t="shared" si="5"/>
        <v>0</v>
      </c>
    </row>
    <row r="112" spans="1:8" x14ac:dyDescent="0.25">
      <c r="A112">
        <v>1020</v>
      </c>
      <c r="B112" t="s">
        <v>87</v>
      </c>
      <c r="C112" t="s">
        <v>197</v>
      </c>
      <c r="D112">
        <v>1</v>
      </c>
      <c r="E112">
        <v>-7.85</v>
      </c>
      <c r="F112">
        <v>-7.85</v>
      </c>
      <c r="G112" cm="1">
        <f t="array" ref="G112">SUMPRODUCT(IF($E112=$O$2,$D112*$P$2,IF($E112=$O$3,$D112*$P$3,IF($E112=$O$4,$D112*$P$4,IF($E112=$O$5,$D112*$P$5,IF($E112=$O$6,$D112*$P$6, IF($E112=$O$7,$D112*$P$7,IF($E112=$O$8,$D112*$P$8,IF($E112=$O$9,$D112*$P$9,IF($E112=$O$10,$D112*$P$10,IF($E112=$O$11,$D112*$P$11,IF($E112=$O$12,$D112*$P$12,IF($E112=$O$13,$D112*$P$13,IF($E112=$O$14,$D112*$P$14,IF($E112=$O$15,$D112*$P$15,IF($E112=$O$16,$D112*$P$16,IF($E112=$O$17,$D112*$P$17,IF($E112=$O$18,$D112*$P$18,IF($E112=$O$19,$D112*$P$19,IF($E112=$O$20,$D112*$P$20,IF($E112=$O$21,$D112*$P$21,IF($E112=$O$22,$D112*$P$22,IF($E112=$O$23,$D112*$P$23,IF($E112=$O$24,$D112*$P$24,IF($E112=$O$25,$D112*$P$25,IF($E112=$O$26,$D112*$P$26,IF($E112=$O$27,$D112*$P$27,IF($E112=$O$28,$D112*$P$28,IF($E112=$O$29,$D112*$P$29,IF($E112=$O$30,$D112*$P$30,IF($E112=$O$31,$D112*$P$31,IF($E112=$O$32,$D112*$P$32,IF($E112=$O$33,$D112*$P$33,IF($E112=$O$34,$D112*$P$34,IF($E112=$O$35,$D112*$P$35,n/a)))))))))))))))))))))))))))))))))))</f>
        <v>-1</v>
      </c>
      <c r="H112" s="6">
        <f t="shared" si="5"/>
        <v>-10</v>
      </c>
    </row>
    <row r="113" spans="1:8" x14ac:dyDescent="0.25">
      <c r="A113">
        <v>1020</v>
      </c>
      <c r="B113" t="s">
        <v>89</v>
      </c>
      <c r="C113" t="s">
        <v>197</v>
      </c>
      <c r="D113">
        <v>371</v>
      </c>
      <c r="E113">
        <v>7.85</v>
      </c>
      <c r="F113">
        <v>2912.35</v>
      </c>
      <c r="G113" cm="1">
        <f t="array" ref="G113">SUMPRODUCT(IF($E113=$O$2,$D113*$P$2,IF($E113=$O$3,$D113*$P$3,IF($E113=$O$4,$D113*$P$4,IF($E113=$O$5,$D113*$P$5,IF($E113=$O$6,$D113*$P$6, IF($E113=$O$7,$D113*$P$7,IF($E113=$O$8,$D113*$P$8,IF($E113=$O$9,$D113*$P$9,IF($E113=$O$10,$D113*$P$10,IF($E113=$O$11,$D113*$P$11,IF($E113=$O$12,$D113*$P$12,IF($E113=$O$13,$D113*$P$13,IF($E113=$O$14,$D113*$P$14,IF($E113=$O$15,$D113*$P$15,IF($E113=$O$16,$D113*$P$16,IF($E113=$O$17,$D113*$P$17,IF($E113=$O$18,$D113*$P$18,IF($E113=$O$19,$D113*$P$19,IF($E113=$O$20,$D113*$P$20,IF($E113=$O$21,$D113*$P$21,IF($E113=$O$22,$D113*$P$22,IF($E113=$O$23,$D113*$P$23,IF($E113=$O$24,$D113*$P$24,IF($E113=$O$25,$D113*$P$25,IF($E113=$O$26,$D113*$P$26,IF($E113=$O$27,$D113*$P$27,IF($E113=$O$28,$D113*$P$28,IF($E113=$O$29,$D113*$P$29,IF($E113=$O$30,$D113*$P$30,IF($E113=$O$31,$D113*$P$31,IF($E113=$O$32,$D113*$P$32,IF($E113=$O$33,$D113*$P$33,IF($E113=$O$34,$D113*$P$34,IF($E113=$O$35,$D113*$P$35,n/a)))))))))))))))))))))))))))))))))))</f>
        <v>371</v>
      </c>
      <c r="H113" s="6">
        <f t="shared" si="5"/>
        <v>0</v>
      </c>
    </row>
    <row r="114" spans="1:8" x14ac:dyDescent="0.25">
      <c r="A114">
        <v>1020</v>
      </c>
      <c r="B114" t="s">
        <v>89</v>
      </c>
      <c r="C114" t="s">
        <v>197</v>
      </c>
      <c r="D114">
        <v>2</v>
      </c>
      <c r="E114">
        <v>15.7</v>
      </c>
      <c r="F114">
        <v>31.4</v>
      </c>
      <c r="G114" cm="1">
        <f t="array" ref="G114">SUMPRODUCT(IF($E114=$O$2,$D114*$P$2,IF($E114=$O$3,$D114*$P$3,IF($E114=$O$4,$D114*$P$4,IF($E114=$O$5,$D114*$P$5,IF($E114=$O$6,$D114*$P$6, IF($E114=$O$7,$D114*$P$7,IF($E114=$O$8,$D114*$P$8,IF($E114=$O$9,$D114*$P$9,IF($E114=$O$10,$D114*$P$10,IF($E114=$O$11,$D114*$P$11,IF($E114=$O$12,$D114*$P$12,IF($E114=$O$13,$D114*$P$13,IF($E114=$O$14,$D114*$P$14,IF($E114=$O$15,$D114*$P$15,IF($E114=$O$16,$D114*$P$16,IF($E114=$O$17,$D114*$P$17,IF($E114=$O$18,$D114*$P$18,IF($E114=$O$19,$D114*$P$19,IF($E114=$O$20,$D114*$P$20,IF($E114=$O$21,$D114*$P$21,IF($E114=$O$22,$D114*$P$22,IF($E114=$O$23,$D114*$P$23,IF($E114=$O$24,$D114*$P$24,IF($E114=$O$25,$D114*$P$25,IF($E114=$O$26,$D114*$P$26,IF($E114=$O$27,$D114*$P$27,IF($E114=$O$28,$D114*$P$28,IF($E114=$O$29,$D114*$P$29,IF($E114=$O$30,$D114*$P$30,IF($E114=$O$31,$D114*$P$31,IF($E114=$O$32,$D114*$P$32,IF($E114=$O$33,$D114*$P$33,IF($E114=$O$34,$D114*$P$34,IF($E114=$O$35,$D114*$P$35,n/a)))))))))))))))))))))))))))))))))))</f>
        <v>4</v>
      </c>
      <c r="H114" s="6">
        <f t="shared" si="5"/>
        <v>0</v>
      </c>
    </row>
    <row r="115" spans="1:8" x14ac:dyDescent="0.25">
      <c r="A115">
        <v>1020</v>
      </c>
      <c r="B115" t="s">
        <v>91</v>
      </c>
      <c r="C115" t="s">
        <v>197</v>
      </c>
      <c r="D115">
        <v>94</v>
      </c>
      <c r="E115">
        <v>7.85</v>
      </c>
      <c r="F115">
        <v>737.9</v>
      </c>
      <c r="G115" cm="1">
        <f t="array" ref="G115">SUMPRODUCT(IF($E115=$O$2,$D115*$P$2,IF($E115=$O$3,$D115*$P$3,IF($E115=$O$4,$D115*$P$4,IF($E115=$O$5,$D115*$P$5,IF($E115=$O$6,$D115*$P$6, IF($E115=$O$7,$D115*$P$7,IF($E115=$O$8,$D115*$P$8,IF($E115=$O$9,$D115*$P$9,IF($E115=$O$10,$D115*$P$10,IF($E115=$O$11,$D115*$P$11,IF($E115=$O$12,$D115*$P$12,IF($E115=$O$13,$D115*$P$13,IF($E115=$O$14,$D115*$P$14,IF($E115=$O$15,$D115*$P$15,IF($E115=$O$16,$D115*$P$16,IF($E115=$O$17,$D115*$P$17,IF($E115=$O$18,$D115*$P$18,IF($E115=$O$19,$D115*$P$19,IF($E115=$O$20,$D115*$P$20,IF($E115=$O$21,$D115*$P$21,IF($E115=$O$22,$D115*$P$22,IF($E115=$O$23,$D115*$P$23,IF($E115=$O$24,$D115*$P$24,IF($E115=$O$25,$D115*$P$25,IF($E115=$O$26,$D115*$P$26,IF($E115=$O$27,$D115*$P$27,IF($E115=$O$28,$D115*$P$28,IF($E115=$O$29,$D115*$P$29,IF($E115=$O$30,$D115*$P$30,IF($E115=$O$31,$D115*$P$31,IF($E115=$O$32,$D115*$P$32,IF($E115=$O$33,$D115*$P$33,IF($E115=$O$34,$D115*$P$34,IF($E115=$O$35,$D115*$P$35,n/a)))))))))))))))))))))))))))))))))))</f>
        <v>94</v>
      </c>
      <c r="H115" s="6">
        <f t="shared" si="5"/>
        <v>0</v>
      </c>
    </row>
    <row r="116" spans="1:8" x14ac:dyDescent="0.25">
      <c r="A116">
        <v>1020</v>
      </c>
      <c r="B116" t="s">
        <v>93</v>
      </c>
      <c r="C116" t="s">
        <v>197</v>
      </c>
      <c r="D116">
        <v>87</v>
      </c>
      <c r="E116">
        <v>7.85</v>
      </c>
      <c r="F116">
        <v>682.95</v>
      </c>
      <c r="G116" cm="1">
        <f t="array" ref="G116">SUMPRODUCT(IF($E116=$O$2,$D116*$P$2,IF($E116=$O$3,$D116*$P$3,IF($E116=$O$4,$D116*$P$4,IF($E116=$O$5,$D116*$P$5,IF($E116=$O$6,$D116*$P$6, IF($E116=$O$7,$D116*$P$7,IF($E116=$O$8,$D116*$P$8,IF($E116=$O$9,$D116*$P$9,IF($E116=$O$10,$D116*$P$10,IF($E116=$O$11,$D116*$P$11,IF($E116=$O$12,$D116*$P$12,IF($E116=$O$13,$D116*$P$13,IF($E116=$O$14,$D116*$P$14,IF($E116=$O$15,$D116*$P$15,IF($E116=$O$16,$D116*$P$16,IF($E116=$O$17,$D116*$P$17,IF($E116=$O$18,$D116*$P$18,IF($E116=$O$19,$D116*$P$19,IF($E116=$O$20,$D116*$P$20,IF($E116=$O$21,$D116*$P$21,IF($E116=$O$22,$D116*$P$22,IF($E116=$O$23,$D116*$P$23,IF($E116=$O$24,$D116*$P$24,IF($E116=$O$25,$D116*$P$25,IF($E116=$O$26,$D116*$P$26,IF($E116=$O$27,$D116*$P$27,IF($E116=$O$28,$D116*$P$28,IF($E116=$O$29,$D116*$P$29,IF($E116=$O$30,$D116*$P$30,IF($E116=$O$31,$D116*$P$31,IF($E116=$O$32,$D116*$P$32,IF($E116=$O$33,$D116*$P$33,IF($E116=$O$34,$D116*$P$34,IF($E116=$O$35,$D116*$P$35,n/a)))))))))))))))))))))))))))))))))))</f>
        <v>87</v>
      </c>
      <c r="H116" s="6">
        <f t="shared" si="5"/>
        <v>0</v>
      </c>
    </row>
    <row r="117" spans="1:8" x14ac:dyDescent="0.25">
      <c r="A117">
        <v>1020</v>
      </c>
      <c r="B117" t="s">
        <v>93</v>
      </c>
      <c r="C117" t="s">
        <v>197</v>
      </c>
      <c r="D117">
        <v>2</v>
      </c>
      <c r="E117">
        <v>-7.85</v>
      </c>
      <c r="F117">
        <v>-15.7</v>
      </c>
      <c r="G117" cm="1">
        <f t="array" ref="G117">SUMPRODUCT(IF($E117=$O$2,$D117*$P$2,IF($E117=$O$3,$D117*$P$3,IF($E117=$O$4,$D117*$P$4,IF($E117=$O$5,$D117*$P$5,IF($E117=$O$6,$D117*$P$6, IF($E117=$O$7,$D117*$P$7,IF($E117=$O$8,$D117*$P$8,IF($E117=$O$9,$D117*$P$9,IF($E117=$O$10,$D117*$P$10,IF($E117=$O$11,$D117*$P$11,IF($E117=$O$12,$D117*$P$12,IF($E117=$O$13,$D117*$P$13,IF($E117=$O$14,$D117*$P$14,IF($E117=$O$15,$D117*$P$15,IF($E117=$O$16,$D117*$P$16,IF($E117=$O$17,$D117*$P$17,IF($E117=$O$18,$D117*$P$18,IF($E117=$O$19,$D117*$P$19,IF($E117=$O$20,$D117*$P$20,IF($E117=$O$21,$D117*$P$21,IF($E117=$O$22,$D117*$P$22,IF($E117=$O$23,$D117*$P$23,IF($E117=$O$24,$D117*$P$24,IF($E117=$O$25,$D117*$P$25,IF($E117=$O$26,$D117*$P$26,IF($E117=$O$27,$D117*$P$27,IF($E117=$O$28,$D117*$P$28,IF($E117=$O$29,$D117*$P$29,IF($E117=$O$30,$D117*$P$30,IF($E117=$O$31,$D117*$P$31,IF($E117=$O$32,$D117*$P$32,IF($E117=$O$33,$D117*$P$33,IF($E117=$O$34,$D117*$P$34,IF($E117=$O$35,$D117*$P$35,n/a)))))))))))))))))))))))))))))))))))</f>
        <v>-2</v>
      </c>
      <c r="H117" s="6">
        <f t="shared" si="5"/>
        <v>-20</v>
      </c>
    </row>
    <row r="118" spans="1:8" x14ac:dyDescent="0.25">
      <c r="A118">
        <v>1020</v>
      </c>
      <c r="B118" t="s">
        <v>95</v>
      </c>
      <c r="C118" t="s">
        <v>197</v>
      </c>
      <c r="D118">
        <v>123</v>
      </c>
      <c r="E118">
        <v>7.85</v>
      </c>
      <c r="F118">
        <v>965.55</v>
      </c>
      <c r="G118" cm="1">
        <f t="array" ref="G118">SUMPRODUCT(IF($E118=$O$2,$D118*$P$2,IF($E118=$O$3,$D118*$P$3,IF($E118=$O$4,$D118*$P$4,IF($E118=$O$5,$D118*$P$5,IF($E118=$O$6,$D118*$P$6, IF($E118=$O$7,$D118*$P$7,IF($E118=$O$8,$D118*$P$8,IF($E118=$O$9,$D118*$P$9,IF($E118=$O$10,$D118*$P$10,IF($E118=$O$11,$D118*$P$11,IF($E118=$O$12,$D118*$P$12,IF($E118=$O$13,$D118*$P$13,IF($E118=$O$14,$D118*$P$14,IF($E118=$O$15,$D118*$P$15,IF($E118=$O$16,$D118*$P$16,IF($E118=$O$17,$D118*$P$17,IF($E118=$O$18,$D118*$P$18,IF($E118=$O$19,$D118*$P$19,IF($E118=$O$20,$D118*$P$20,IF($E118=$O$21,$D118*$P$21,IF($E118=$O$22,$D118*$P$22,IF($E118=$O$23,$D118*$P$23,IF($E118=$O$24,$D118*$P$24,IF($E118=$O$25,$D118*$P$25,IF($E118=$O$26,$D118*$P$26,IF($E118=$O$27,$D118*$P$27,IF($E118=$O$28,$D118*$P$28,IF($E118=$O$29,$D118*$P$29,IF($E118=$O$30,$D118*$P$30,IF($E118=$O$31,$D118*$P$31,IF($E118=$O$32,$D118*$P$32,IF($E118=$O$33,$D118*$P$33,IF($E118=$O$34,$D118*$P$34,IF($E118=$O$35,$D118*$P$35,n/a)))))))))))))))))))))))))))))))))))</f>
        <v>123</v>
      </c>
      <c r="H118" s="6">
        <f t="shared" si="5"/>
        <v>0</v>
      </c>
    </row>
    <row r="119" spans="1:8" x14ac:dyDescent="0.25">
      <c r="A119">
        <v>1020</v>
      </c>
      <c r="B119" t="s">
        <v>95</v>
      </c>
      <c r="C119" t="s">
        <v>197</v>
      </c>
      <c r="D119">
        <v>3</v>
      </c>
      <c r="E119">
        <v>-7.85</v>
      </c>
      <c r="F119">
        <v>-23.55</v>
      </c>
      <c r="G119" cm="1">
        <f t="array" ref="G119">SUMPRODUCT(IF($E119=$O$2,$D119*$P$2,IF($E119=$O$3,$D119*$P$3,IF($E119=$O$4,$D119*$P$4,IF($E119=$O$5,$D119*$P$5,IF($E119=$O$6,$D119*$P$6, IF($E119=$O$7,$D119*$P$7,IF($E119=$O$8,$D119*$P$8,IF($E119=$O$9,$D119*$P$9,IF($E119=$O$10,$D119*$P$10,IF($E119=$O$11,$D119*$P$11,IF($E119=$O$12,$D119*$P$12,IF($E119=$O$13,$D119*$P$13,IF($E119=$O$14,$D119*$P$14,IF($E119=$O$15,$D119*$P$15,IF($E119=$O$16,$D119*$P$16,IF($E119=$O$17,$D119*$P$17,IF($E119=$O$18,$D119*$P$18,IF($E119=$O$19,$D119*$P$19,IF($E119=$O$20,$D119*$P$20,IF($E119=$O$21,$D119*$P$21,IF($E119=$O$22,$D119*$P$22,IF($E119=$O$23,$D119*$P$23,IF($E119=$O$24,$D119*$P$24,IF($E119=$O$25,$D119*$P$25,IF($E119=$O$26,$D119*$P$26,IF($E119=$O$27,$D119*$P$27,IF($E119=$O$28,$D119*$P$28,IF($E119=$O$29,$D119*$P$29,IF($E119=$O$30,$D119*$P$30,IF($E119=$O$31,$D119*$P$31,IF($E119=$O$32,$D119*$P$32,IF($E119=$O$33,$D119*$P$33,IF($E119=$O$34,$D119*$P$34,IF($E119=$O$35,$D119*$P$35,n/a)))))))))))))))))))))))))))))))))))</f>
        <v>-3</v>
      </c>
      <c r="H119" s="6">
        <f t="shared" si="5"/>
        <v>-30</v>
      </c>
    </row>
    <row r="120" spans="1:8" x14ac:dyDescent="0.25">
      <c r="A120">
        <v>1020</v>
      </c>
      <c r="B120" t="s">
        <v>97</v>
      </c>
      <c r="C120" t="s">
        <v>197</v>
      </c>
      <c r="D120">
        <v>45</v>
      </c>
      <c r="E120">
        <v>7.85</v>
      </c>
      <c r="F120">
        <v>353.25</v>
      </c>
      <c r="G120" cm="1">
        <f t="array" ref="G120">SUMPRODUCT(IF($E120=$O$2,$D120*$P$2,IF($E120=$O$3,$D120*$P$3,IF($E120=$O$4,$D120*$P$4,IF($E120=$O$5,$D120*$P$5,IF($E120=$O$6,$D120*$P$6, IF($E120=$O$7,$D120*$P$7,IF($E120=$O$8,$D120*$P$8,IF($E120=$O$9,$D120*$P$9,IF($E120=$O$10,$D120*$P$10,IF($E120=$O$11,$D120*$P$11,IF($E120=$O$12,$D120*$P$12,IF($E120=$O$13,$D120*$P$13,IF($E120=$O$14,$D120*$P$14,IF($E120=$O$15,$D120*$P$15,IF($E120=$O$16,$D120*$P$16,IF($E120=$O$17,$D120*$P$17,IF($E120=$O$18,$D120*$P$18,IF($E120=$O$19,$D120*$P$19,IF($E120=$O$20,$D120*$P$20,IF($E120=$O$21,$D120*$P$21,IF($E120=$O$22,$D120*$P$22,IF($E120=$O$23,$D120*$P$23,IF($E120=$O$24,$D120*$P$24,IF($E120=$O$25,$D120*$P$25,IF($E120=$O$26,$D120*$P$26,IF($E120=$O$27,$D120*$P$27,IF($E120=$O$28,$D120*$P$28,IF($E120=$O$29,$D120*$P$29,IF($E120=$O$30,$D120*$P$30,IF($E120=$O$31,$D120*$P$31,IF($E120=$O$32,$D120*$P$32,IF($E120=$O$33,$D120*$P$33,IF($E120=$O$34,$D120*$P$34,IF($E120=$O$35,$D120*$P$35,n/a)))))))))))))))))))))))))))))))))))</f>
        <v>45</v>
      </c>
      <c r="H120" s="6">
        <f t="shared" si="5"/>
        <v>0</v>
      </c>
    </row>
    <row r="121" spans="1:8" x14ac:dyDescent="0.25">
      <c r="A121">
        <v>1020</v>
      </c>
      <c r="B121" t="s">
        <v>97</v>
      </c>
      <c r="C121" t="s">
        <v>197</v>
      </c>
      <c r="D121">
        <v>14</v>
      </c>
      <c r="E121">
        <v>15.7</v>
      </c>
      <c r="F121">
        <v>219.8</v>
      </c>
      <c r="G121" cm="1">
        <f t="array" ref="G121">SUMPRODUCT(IF($E121=$O$2,$D121*$P$2,IF($E121=$O$3,$D121*$P$3,IF($E121=$O$4,$D121*$P$4,IF($E121=$O$5,$D121*$P$5,IF($E121=$O$6,$D121*$P$6, IF($E121=$O$7,$D121*$P$7,IF($E121=$O$8,$D121*$P$8,IF($E121=$O$9,$D121*$P$9,IF($E121=$O$10,$D121*$P$10,IF($E121=$O$11,$D121*$P$11,IF($E121=$O$12,$D121*$P$12,IF($E121=$O$13,$D121*$P$13,IF($E121=$O$14,$D121*$P$14,IF($E121=$O$15,$D121*$P$15,IF($E121=$O$16,$D121*$P$16,IF($E121=$O$17,$D121*$P$17,IF($E121=$O$18,$D121*$P$18,IF($E121=$O$19,$D121*$P$19,IF($E121=$O$20,$D121*$P$20,IF($E121=$O$21,$D121*$P$21,IF($E121=$O$22,$D121*$P$22,IF($E121=$O$23,$D121*$P$23,IF($E121=$O$24,$D121*$P$24,IF($E121=$O$25,$D121*$P$25,IF($E121=$O$26,$D121*$P$26,IF($E121=$O$27,$D121*$P$27,IF($E121=$O$28,$D121*$P$28,IF($E121=$O$29,$D121*$P$29,IF($E121=$O$30,$D121*$P$30,IF($E121=$O$31,$D121*$P$31,IF($E121=$O$32,$D121*$P$32,IF($E121=$O$33,$D121*$P$33,IF($E121=$O$34,$D121*$P$34,IF($E121=$O$35,$D121*$P$35,n/a)))))))))))))))))))))))))))))))))))</f>
        <v>28</v>
      </c>
      <c r="H121" s="6">
        <f t="shared" si="5"/>
        <v>0</v>
      </c>
    </row>
    <row r="122" spans="1:8" x14ac:dyDescent="0.25">
      <c r="A122">
        <v>1020</v>
      </c>
      <c r="B122" t="s">
        <v>97</v>
      </c>
      <c r="C122" t="s">
        <v>197</v>
      </c>
      <c r="D122">
        <v>1</v>
      </c>
      <c r="E122">
        <v>23.55</v>
      </c>
      <c r="F122">
        <v>23.55</v>
      </c>
      <c r="G122" cm="1">
        <f t="array" ref="G122">SUMPRODUCT(IF($E122=$O$2,$D122*$P$2,IF($E122=$O$3,$D122*$P$3,IF($E122=$O$4,$D122*$P$4,IF($E122=$O$5,$D122*$P$5,IF($E122=$O$6,$D122*$P$6, IF($E122=$O$7,$D122*$P$7,IF($E122=$O$8,$D122*$P$8,IF($E122=$O$9,$D122*$P$9,IF($E122=$O$10,$D122*$P$10,IF($E122=$O$11,$D122*$P$11,IF($E122=$O$12,$D122*$P$12,IF($E122=$O$13,$D122*$P$13,IF($E122=$O$14,$D122*$P$14,IF($E122=$O$15,$D122*$P$15,IF($E122=$O$16,$D122*$P$16,IF($E122=$O$17,$D122*$P$17,IF($E122=$O$18,$D122*$P$18,IF($E122=$O$19,$D122*$P$19,IF($E122=$O$20,$D122*$P$20,IF($E122=$O$21,$D122*$P$21,IF($E122=$O$22,$D122*$P$22,IF($E122=$O$23,$D122*$P$23,IF($E122=$O$24,$D122*$P$24,IF($E122=$O$25,$D122*$P$25,IF($E122=$O$26,$D122*$P$26,IF($E122=$O$27,$D122*$P$27,IF($E122=$O$28,$D122*$P$28,IF($E122=$O$29,$D122*$P$29,IF($E122=$O$30,$D122*$P$30,IF($E122=$O$31,$D122*$P$31,IF($E122=$O$32,$D122*$P$32,IF($E122=$O$33,$D122*$P$33,IF($E122=$O$34,$D122*$P$34,IF($E122=$O$35,$D122*$P$35,n/a)))))))))))))))))))))))))))))))))))</f>
        <v>3</v>
      </c>
      <c r="H122" s="6">
        <f t="shared" si="5"/>
        <v>0</v>
      </c>
    </row>
    <row r="123" spans="1:8" x14ac:dyDescent="0.25">
      <c r="A123">
        <v>1020</v>
      </c>
      <c r="B123" t="s">
        <v>99</v>
      </c>
      <c r="C123" t="s">
        <v>197</v>
      </c>
      <c r="D123">
        <v>6</v>
      </c>
      <c r="E123">
        <v>7.85</v>
      </c>
      <c r="F123">
        <v>47.1</v>
      </c>
      <c r="G123" cm="1">
        <f t="array" ref="G123">SUMPRODUCT(IF($E123=$O$2,$D123*$P$2,IF($E123=$O$3,$D123*$P$3,IF($E123=$O$4,$D123*$P$4,IF($E123=$O$5,$D123*$P$5,IF($E123=$O$6,$D123*$P$6, IF($E123=$O$7,$D123*$P$7,IF($E123=$O$8,$D123*$P$8,IF($E123=$O$9,$D123*$P$9,IF($E123=$O$10,$D123*$P$10,IF($E123=$O$11,$D123*$P$11,IF($E123=$O$12,$D123*$P$12,IF($E123=$O$13,$D123*$P$13,IF($E123=$O$14,$D123*$P$14,IF($E123=$O$15,$D123*$P$15,IF($E123=$O$16,$D123*$P$16,IF($E123=$O$17,$D123*$P$17,IF($E123=$O$18,$D123*$P$18,IF($E123=$O$19,$D123*$P$19,IF($E123=$O$20,$D123*$P$20,IF($E123=$O$21,$D123*$P$21,IF($E123=$O$22,$D123*$P$22,IF($E123=$O$23,$D123*$P$23,IF($E123=$O$24,$D123*$P$24,IF($E123=$O$25,$D123*$P$25,IF($E123=$O$26,$D123*$P$26,IF($E123=$O$27,$D123*$P$27,IF($E123=$O$28,$D123*$P$28,IF($E123=$O$29,$D123*$P$29,IF($E123=$O$30,$D123*$P$30,IF($E123=$O$31,$D123*$P$31,IF($E123=$O$32,$D123*$P$32,IF($E123=$O$33,$D123*$P$33,IF($E123=$O$34,$D123*$P$34,IF($E123=$O$35,$D123*$P$35,n/a)))))))))))))))))))))))))))))))))))</f>
        <v>6</v>
      </c>
      <c r="H123" s="6">
        <f t="shared" si="5"/>
        <v>0</v>
      </c>
    </row>
    <row r="124" spans="1:8" x14ac:dyDescent="0.25">
      <c r="A124">
        <v>1020</v>
      </c>
      <c r="B124" t="s">
        <v>101</v>
      </c>
      <c r="C124" t="s">
        <v>197</v>
      </c>
      <c r="D124">
        <v>171</v>
      </c>
      <c r="E124">
        <v>7.85</v>
      </c>
      <c r="F124">
        <v>1342.35</v>
      </c>
      <c r="G124" cm="1">
        <f t="array" ref="G124">SUMPRODUCT(IF($E124=$O$2,$D124*$P$2,IF($E124=$O$3,$D124*$P$3,IF($E124=$O$4,$D124*$P$4,IF($E124=$O$5,$D124*$P$5,IF($E124=$O$6,$D124*$P$6, IF($E124=$O$7,$D124*$P$7,IF($E124=$O$8,$D124*$P$8,IF($E124=$O$9,$D124*$P$9,IF($E124=$O$10,$D124*$P$10,IF($E124=$O$11,$D124*$P$11,IF($E124=$O$12,$D124*$P$12,IF($E124=$O$13,$D124*$P$13,IF($E124=$O$14,$D124*$P$14,IF($E124=$O$15,$D124*$P$15,IF($E124=$O$16,$D124*$P$16,IF($E124=$O$17,$D124*$P$17,IF($E124=$O$18,$D124*$P$18,IF($E124=$O$19,$D124*$P$19,IF($E124=$O$20,$D124*$P$20,IF($E124=$O$21,$D124*$P$21,IF($E124=$O$22,$D124*$P$22,IF($E124=$O$23,$D124*$P$23,IF($E124=$O$24,$D124*$P$24,IF($E124=$O$25,$D124*$P$25,IF($E124=$O$26,$D124*$P$26,IF($E124=$O$27,$D124*$P$27,IF($E124=$O$28,$D124*$P$28,IF($E124=$O$29,$D124*$P$29,IF($E124=$O$30,$D124*$P$30,IF($E124=$O$31,$D124*$P$31,IF($E124=$O$32,$D124*$P$32,IF($E124=$O$33,$D124*$P$33,IF($E124=$O$34,$D124*$P$34,IF($E124=$O$35,$D124*$P$35,n/a)))))))))))))))))))))))))))))))))))</f>
        <v>171</v>
      </c>
      <c r="H124" s="6">
        <f t="shared" si="5"/>
        <v>0</v>
      </c>
    </row>
    <row r="125" spans="1:8" x14ac:dyDescent="0.25">
      <c r="A125">
        <v>1020</v>
      </c>
      <c r="B125" t="s">
        <v>101</v>
      </c>
      <c r="C125" t="s">
        <v>197</v>
      </c>
      <c r="D125">
        <v>1</v>
      </c>
      <c r="E125">
        <v>15.7</v>
      </c>
      <c r="F125">
        <v>15.7</v>
      </c>
      <c r="G125" cm="1">
        <f t="array" ref="G125">SUMPRODUCT(IF($E125=$O$2,$D125*$P$2,IF($E125=$O$3,$D125*$P$3,IF($E125=$O$4,$D125*$P$4,IF($E125=$O$5,$D125*$P$5,IF($E125=$O$6,$D125*$P$6, IF($E125=$O$7,$D125*$P$7,IF($E125=$O$8,$D125*$P$8,IF($E125=$O$9,$D125*$P$9,IF($E125=$O$10,$D125*$P$10,IF($E125=$O$11,$D125*$P$11,IF($E125=$O$12,$D125*$P$12,IF($E125=$O$13,$D125*$P$13,IF($E125=$O$14,$D125*$P$14,IF($E125=$O$15,$D125*$P$15,IF($E125=$O$16,$D125*$P$16,IF($E125=$O$17,$D125*$P$17,IF($E125=$O$18,$D125*$P$18,IF($E125=$O$19,$D125*$P$19,IF($E125=$O$20,$D125*$P$20,IF($E125=$O$21,$D125*$P$21,IF($E125=$O$22,$D125*$P$22,IF($E125=$O$23,$D125*$P$23,IF($E125=$O$24,$D125*$P$24,IF($E125=$O$25,$D125*$P$25,IF($E125=$O$26,$D125*$P$26,IF($E125=$O$27,$D125*$P$27,IF($E125=$O$28,$D125*$P$28,IF($E125=$O$29,$D125*$P$29,IF($E125=$O$30,$D125*$P$30,IF($E125=$O$31,$D125*$P$31,IF($E125=$O$32,$D125*$P$32,IF($E125=$O$33,$D125*$P$33,IF($E125=$O$34,$D125*$P$34,IF($E125=$O$35,$D125*$P$35,n/a)))))))))))))))))))))))))))))))))))</f>
        <v>2</v>
      </c>
      <c r="H125" s="6">
        <f t="shared" si="5"/>
        <v>0</v>
      </c>
    </row>
    <row r="126" spans="1:8" x14ac:dyDescent="0.25">
      <c r="A126">
        <v>1020</v>
      </c>
      <c r="B126" t="s">
        <v>101</v>
      </c>
      <c r="C126" t="s">
        <v>197</v>
      </c>
      <c r="D126">
        <v>1</v>
      </c>
      <c r="E126">
        <v>-7.85</v>
      </c>
      <c r="F126">
        <v>-7.85</v>
      </c>
      <c r="G126" cm="1">
        <f t="array" ref="G126">SUMPRODUCT(IF($E126=$O$2,$D126*$P$2,IF($E126=$O$3,$D126*$P$3,IF($E126=$O$4,$D126*$P$4,IF($E126=$O$5,$D126*$P$5,IF($E126=$O$6,$D126*$P$6, IF($E126=$O$7,$D126*$P$7,IF($E126=$O$8,$D126*$P$8,IF($E126=$O$9,$D126*$P$9,IF($E126=$O$10,$D126*$P$10,IF($E126=$O$11,$D126*$P$11,IF($E126=$O$12,$D126*$P$12,IF($E126=$O$13,$D126*$P$13,IF($E126=$O$14,$D126*$P$14,IF($E126=$O$15,$D126*$P$15,IF($E126=$O$16,$D126*$P$16,IF($E126=$O$17,$D126*$P$17,IF($E126=$O$18,$D126*$P$18,IF($E126=$O$19,$D126*$P$19,IF($E126=$O$20,$D126*$P$20,IF($E126=$O$21,$D126*$P$21,IF($E126=$O$22,$D126*$P$22,IF($E126=$O$23,$D126*$P$23,IF($E126=$O$24,$D126*$P$24,IF($E126=$O$25,$D126*$P$25,IF($E126=$O$26,$D126*$P$26,IF($E126=$O$27,$D126*$P$27,IF($E126=$O$28,$D126*$P$28,IF($E126=$O$29,$D126*$P$29,IF($E126=$O$30,$D126*$P$30,IF($E126=$O$31,$D126*$P$31,IF($E126=$O$32,$D126*$P$32,IF($E126=$O$33,$D126*$P$33,IF($E126=$O$34,$D126*$P$34,IF($E126=$O$35,$D126*$P$35,n/a)))))))))))))))))))))))))))))))))))</f>
        <v>-1</v>
      </c>
      <c r="H126" s="6">
        <f t="shared" si="5"/>
        <v>-10</v>
      </c>
    </row>
    <row r="127" spans="1:8" x14ac:dyDescent="0.25">
      <c r="A127">
        <v>1020</v>
      </c>
      <c r="B127" t="s">
        <v>103</v>
      </c>
      <c r="C127" t="s">
        <v>197</v>
      </c>
      <c r="D127">
        <v>217</v>
      </c>
      <c r="E127">
        <v>7.85</v>
      </c>
      <c r="F127">
        <v>1703.45</v>
      </c>
      <c r="G127" cm="1">
        <f t="array" ref="G127">SUMPRODUCT(IF($E127=$O$2,$D127*$P$2,IF($E127=$O$3,$D127*$P$3,IF($E127=$O$4,$D127*$P$4,IF($E127=$O$5,$D127*$P$5,IF($E127=$O$6,$D127*$P$6, IF($E127=$O$7,$D127*$P$7,IF($E127=$O$8,$D127*$P$8,IF($E127=$O$9,$D127*$P$9,IF($E127=$O$10,$D127*$P$10,IF($E127=$O$11,$D127*$P$11,IF($E127=$O$12,$D127*$P$12,IF($E127=$O$13,$D127*$P$13,IF($E127=$O$14,$D127*$P$14,IF($E127=$O$15,$D127*$P$15,IF($E127=$O$16,$D127*$P$16,IF($E127=$O$17,$D127*$P$17,IF($E127=$O$18,$D127*$P$18,IF($E127=$O$19,$D127*$P$19,IF($E127=$O$20,$D127*$P$20,IF($E127=$O$21,$D127*$P$21,IF($E127=$O$22,$D127*$P$22,IF($E127=$O$23,$D127*$P$23,IF($E127=$O$24,$D127*$P$24,IF($E127=$O$25,$D127*$P$25,IF($E127=$O$26,$D127*$P$26,IF($E127=$O$27,$D127*$P$27,IF($E127=$O$28,$D127*$P$28,IF($E127=$O$29,$D127*$P$29,IF($E127=$O$30,$D127*$P$30,IF($E127=$O$31,$D127*$P$31,IF($E127=$O$32,$D127*$P$32,IF($E127=$O$33,$D127*$P$33,IF($E127=$O$34,$D127*$P$34,IF($E127=$O$35,$D127*$P$35,n/a)))))))))))))))))))))))))))))))))))</f>
        <v>217</v>
      </c>
      <c r="H127" s="6">
        <f t="shared" si="5"/>
        <v>0</v>
      </c>
    </row>
    <row r="128" spans="1:8" x14ac:dyDescent="0.25">
      <c r="A128">
        <v>1020</v>
      </c>
      <c r="B128" t="s">
        <v>103</v>
      </c>
      <c r="C128" t="s">
        <v>197</v>
      </c>
      <c r="D128">
        <v>4</v>
      </c>
      <c r="E128">
        <v>15.7</v>
      </c>
      <c r="F128">
        <v>62.8</v>
      </c>
      <c r="G128" cm="1">
        <f t="array" ref="G128">SUMPRODUCT(IF($E128=$O$2,$D128*$P$2,IF($E128=$O$3,$D128*$P$3,IF($E128=$O$4,$D128*$P$4,IF($E128=$O$5,$D128*$P$5,IF($E128=$O$6,$D128*$P$6, IF($E128=$O$7,$D128*$P$7,IF($E128=$O$8,$D128*$P$8,IF($E128=$O$9,$D128*$P$9,IF($E128=$O$10,$D128*$P$10,IF($E128=$O$11,$D128*$P$11,IF($E128=$O$12,$D128*$P$12,IF($E128=$O$13,$D128*$P$13,IF($E128=$O$14,$D128*$P$14,IF($E128=$O$15,$D128*$P$15,IF($E128=$O$16,$D128*$P$16,IF($E128=$O$17,$D128*$P$17,IF($E128=$O$18,$D128*$P$18,IF($E128=$O$19,$D128*$P$19,IF($E128=$O$20,$D128*$P$20,IF($E128=$O$21,$D128*$P$21,IF($E128=$O$22,$D128*$P$22,IF($E128=$O$23,$D128*$P$23,IF($E128=$O$24,$D128*$P$24,IF($E128=$O$25,$D128*$P$25,IF($E128=$O$26,$D128*$P$26,IF($E128=$O$27,$D128*$P$27,IF($E128=$O$28,$D128*$P$28,IF($E128=$O$29,$D128*$P$29,IF($E128=$O$30,$D128*$P$30,IF($E128=$O$31,$D128*$P$31,IF($E128=$O$32,$D128*$P$32,IF($E128=$O$33,$D128*$P$33,IF($E128=$O$34,$D128*$P$34,IF($E128=$O$35,$D128*$P$35,n/a)))))))))))))))))))))))))))))))))))</f>
        <v>8</v>
      </c>
      <c r="H128" s="6">
        <f t="shared" si="5"/>
        <v>0</v>
      </c>
    </row>
    <row r="129" spans="1:8" x14ac:dyDescent="0.25">
      <c r="A129">
        <v>1020</v>
      </c>
      <c r="B129" t="s">
        <v>103</v>
      </c>
      <c r="C129" t="s">
        <v>197</v>
      </c>
      <c r="D129">
        <v>9</v>
      </c>
      <c r="E129">
        <v>-7.85</v>
      </c>
      <c r="F129">
        <v>-70.650000000000006</v>
      </c>
      <c r="G129" cm="1">
        <f t="array" ref="G129">SUMPRODUCT(IF($E129=$O$2,$D129*$P$2,IF($E129=$O$3,$D129*$P$3,IF($E129=$O$4,$D129*$P$4,IF($E129=$O$5,$D129*$P$5,IF($E129=$O$6,$D129*$P$6, IF($E129=$O$7,$D129*$P$7,IF($E129=$O$8,$D129*$P$8,IF($E129=$O$9,$D129*$P$9,IF($E129=$O$10,$D129*$P$10,IF($E129=$O$11,$D129*$P$11,IF($E129=$O$12,$D129*$P$12,IF($E129=$O$13,$D129*$P$13,IF($E129=$O$14,$D129*$P$14,IF($E129=$O$15,$D129*$P$15,IF($E129=$O$16,$D129*$P$16,IF($E129=$O$17,$D129*$P$17,IF($E129=$O$18,$D129*$P$18,IF($E129=$O$19,$D129*$P$19,IF($E129=$O$20,$D129*$P$20,IF($E129=$O$21,$D129*$P$21,IF($E129=$O$22,$D129*$P$22,IF($E129=$O$23,$D129*$P$23,IF($E129=$O$24,$D129*$P$24,IF($E129=$O$25,$D129*$P$25,IF($E129=$O$26,$D129*$P$26,IF($E129=$O$27,$D129*$P$27,IF($E129=$O$28,$D129*$P$28,IF($E129=$O$29,$D129*$P$29,IF($E129=$O$30,$D129*$P$30,IF($E129=$O$31,$D129*$P$31,IF($E129=$O$32,$D129*$P$32,IF($E129=$O$33,$D129*$P$33,IF($E129=$O$34,$D129*$P$34,IF($E129=$O$35,$D129*$P$35,n/a)))))))))))))))))))))))))))))))))))</f>
        <v>-9</v>
      </c>
      <c r="H129" s="6">
        <f t="shared" si="5"/>
        <v>-90</v>
      </c>
    </row>
    <row r="130" spans="1:8" x14ac:dyDescent="0.25">
      <c r="A130">
        <v>1020</v>
      </c>
      <c r="B130" t="s">
        <v>105</v>
      </c>
      <c r="C130" t="s">
        <v>197</v>
      </c>
      <c r="D130">
        <v>501</v>
      </c>
      <c r="E130">
        <v>7.85</v>
      </c>
      <c r="F130">
        <v>3932.85</v>
      </c>
      <c r="G130" cm="1">
        <f t="array" ref="G130">SUMPRODUCT(IF($E130=$O$2,$D130*$P$2,IF($E130=$O$3,$D130*$P$3,IF($E130=$O$4,$D130*$P$4,IF($E130=$O$5,$D130*$P$5,IF($E130=$O$6,$D130*$P$6, IF($E130=$O$7,$D130*$P$7,IF($E130=$O$8,$D130*$P$8,IF($E130=$O$9,$D130*$P$9,IF($E130=$O$10,$D130*$P$10,IF($E130=$O$11,$D130*$P$11,IF($E130=$O$12,$D130*$P$12,IF($E130=$O$13,$D130*$P$13,IF($E130=$O$14,$D130*$P$14,IF($E130=$O$15,$D130*$P$15,IF($E130=$O$16,$D130*$P$16,IF($E130=$O$17,$D130*$P$17,IF($E130=$O$18,$D130*$P$18,IF($E130=$O$19,$D130*$P$19,IF($E130=$O$20,$D130*$P$20,IF($E130=$O$21,$D130*$P$21,IF($E130=$O$22,$D130*$P$22,IF($E130=$O$23,$D130*$P$23,IF($E130=$O$24,$D130*$P$24,IF($E130=$O$25,$D130*$P$25,IF($E130=$O$26,$D130*$P$26,IF($E130=$O$27,$D130*$P$27,IF($E130=$O$28,$D130*$P$28,IF($E130=$O$29,$D130*$P$29,IF($E130=$O$30,$D130*$P$30,IF($E130=$O$31,$D130*$P$31,IF($E130=$O$32,$D130*$P$32,IF($E130=$O$33,$D130*$P$33,IF($E130=$O$34,$D130*$P$34,IF($E130=$O$35,$D130*$P$35,n/a)))))))))))))))))))))))))))))))))))</f>
        <v>501</v>
      </c>
      <c r="H130" s="6">
        <f t="shared" si="5"/>
        <v>0</v>
      </c>
    </row>
    <row r="131" spans="1:8" x14ac:dyDescent="0.25">
      <c r="A131">
        <v>1020</v>
      </c>
      <c r="B131" t="s">
        <v>107</v>
      </c>
      <c r="C131" t="s">
        <v>197</v>
      </c>
      <c r="D131">
        <v>19</v>
      </c>
      <c r="E131">
        <v>7.85</v>
      </c>
      <c r="F131">
        <v>149.15</v>
      </c>
      <c r="G131" cm="1">
        <f t="array" ref="G131">SUMPRODUCT(IF($E131=$O$2,$D131*$P$2,IF($E131=$O$3,$D131*$P$3,IF($E131=$O$4,$D131*$P$4,IF($E131=$O$5,$D131*$P$5,IF($E131=$O$6,$D131*$P$6, IF($E131=$O$7,$D131*$P$7,IF($E131=$O$8,$D131*$P$8,IF($E131=$O$9,$D131*$P$9,IF($E131=$O$10,$D131*$P$10,IF($E131=$O$11,$D131*$P$11,IF($E131=$O$12,$D131*$P$12,IF($E131=$O$13,$D131*$P$13,IF($E131=$O$14,$D131*$P$14,IF($E131=$O$15,$D131*$P$15,IF($E131=$O$16,$D131*$P$16,IF($E131=$O$17,$D131*$P$17,IF($E131=$O$18,$D131*$P$18,IF($E131=$O$19,$D131*$P$19,IF($E131=$O$20,$D131*$P$20,IF($E131=$O$21,$D131*$P$21,IF($E131=$O$22,$D131*$P$22,IF($E131=$O$23,$D131*$P$23,IF($E131=$O$24,$D131*$P$24,IF($E131=$O$25,$D131*$P$25,IF($E131=$O$26,$D131*$P$26,IF($E131=$O$27,$D131*$P$27,IF($E131=$O$28,$D131*$P$28,IF($E131=$O$29,$D131*$P$29,IF($E131=$O$30,$D131*$P$30,IF($E131=$O$31,$D131*$P$31,IF($E131=$O$32,$D131*$P$32,IF($E131=$O$33,$D131*$P$33,IF($E131=$O$34,$D131*$P$34,IF($E131=$O$35,$D131*$P$35,n/a)))))))))))))))))))))))))))))))))))</f>
        <v>19</v>
      </c>
      <c r="H131" s="6">
        <f t="shared" si="5"/>
        <v>0</v>
      </c>
    </row>
    <row r="132" spans="1:8" x14ac:dyDescent="0.25">
      <c r="A132">
        <v>1020</v>
      </c>
      <c r="B132" t="s">
        <v>107</v>
      </c>
      <c r="C132" t="s">
        <v>197</v>
      </c>
      <c r="D132">
        <v>2</v>
      </c>
      <c r="E132">
        <v>15.7</v>
      </c>
      <c r="F132">
        <v>31.4</v>
      </c>
      <c r="G132" cm="1">
        <f t="array" ref="G132">SUMPRODUCT(IF($E132=$O$2,$D132*$P$2,IF($E132=$O$3,$D132*$P$3,IF($E132=$O$4,$D132*$P$4,IF($E132=$O$5,$D132*$P$5,IF($E132=$O$6,$D132*$P$6, IF($E132=$O$7,$D132*$P$7,IF($E132=$O$8,$D132*$P$8,IF($E132=$O$9,$D132*$P$9,IF($E132=$O$10,$D132*$P$10,IF($E132=$O$11,$D132*$P$11,IF($E132=$O$12,$D132*$P$12,IF($E132=$O$13,$D132*$P$13,IF($E132=$O$14,$D132*$P$14,IF($E132=$O$15,$D132*$P$15,IF($E132=$O$16,$D132*$P$16,IF($E132=$O$17,$D132*$P$17,IF($E132=$O$18,$D132*$P$18,IF($E132=$O$19,$D132*$P$19,IF($E132=$O$20,$D132*$P$20,IF($E132=$O$21,$D132*$P$21,IF($E132=$O$22,$D132*$P$22,IF($E132=$O$23,$D132*$P$23,IF($E132=$O$24,$D132*$P$24,IF($E132=$O$25,$D132*$P$25,IF($E132=$O$26,$D132*$P$26,IF($E132=$O$27,$D132*$P$27,IF($E132=$O$28,$D132*$P$28,IF($E132=$O$29,$D132*$P$29,IF($E132=$O$30,$D132*$P$30,IF($E132=$O$31,$D132*$P$31,IF($E132=$O$32,$D132*$P$32,IF($E132=$O$33,$D132*$P$33,IF($E132=$O$34,$D132*$P$34,IF($E132=$O$35,$D132*$P$35,n/a)))))))))))))))))))))))))))))))))))</f>
        <v>4</v>
      </c>
      <c r="H132" s="6">
        <f t="shared" si="5"/>
        <v>0</v>
      </c>
    </row>
    <row r="133" spans="1:8" x14ac:dyDescent="0.25">
      <c r="A133">
        <v>1020</v>
      </c>
      <c r="B133" t="s">
        <v>109</v>
      </c>
      <c r="C133" t="s">
        <v>197</v>
      </c>
      <c r="D133">
        <v>483</v>
      </c>
      <c r="E133">
        <v>7.85</v>
      </c>
      <c r="F133">
        <v>3791.55</v>
      </c>
      <c r="G133" cm="1">
        <f t="array" ref="G133">SUMPRODUCT(IF($E133=$O$2,$D133*$P$2,IF($E133=$O$3,$D133*$P$3,IF($E133=$O$4,$D133*$P$4,IF($E133=$O$5,$D133*$P$5,IF($E133=$O$6,$D133*$P$6, IF($E133=$O$7,$D133*$P$7,IF($E133=$O$8,$D133*$P$8,IF($E133=$O$9,$D133*$P$9,IF($E133=$O$10,$D133*$P$10,IF($E133=$O$11,$D133*$P$11,IF($E133=$O$12,$D133*$P$12,IF($E133=$O$13,$D133*$P$13,IF($E133=$O$14,$D133*$P$14,IF($E133=$O$15,$D133*$P$15,IF($E133=$O$16,$D133*$P$16,IF($E133=$O$17,$D133*$P$17,IF($E133=$O$18,$D133*$P$18,IF($E133=$O$19,$D133*$P$19,IF($E133=$O$20,$D133*$P$20,IF($E133=$O$21,$D133*$P$21,IF($E133=$O$22,$D133*$P$22,IF($E133=$O$23,$D133*$P$23,IF($E133=$O$24,$D133*$P$24,IF($E133=$O$25,$D133*$P$25,IF($E133=$O$26,$D133*$P$26,IF($E133=$O$27,$D133*$P$27,IF($E133=$O$28,$D133*$P$28,IF($E133=$O$29,$D133*$P$29,IF($E133=$O$30,$D133*$P$30,IF($E133=$O$31,$D133*$P$31,IF($E133=$O$32,$D133*$P$32,IF($E133=$O$33,$D133*$P$33,IF($E133=$O$34,$D133*$P$34,IF($E133=$O$35,$D133*$P$35,n/a)))))))))))))))))))))))))))))))))))</f>
        <v>483</v>
      </c>
      <c r="H133" s="6">
        <f t="shared" si="5"/>
        <v>0</v>
      </c>
    </row>
    <row r="134" spans="1:8" x14ac:dyDescent="0.25">
      <c r="A134">
        <v>1020</v>
      </c>
      <c r="B134" t="s">
        <v>109</v>
      </c>
      <c r="C134" t="s">
        <v>197</v>
      </c>
      <c r="D134">
        <v>67</v>
      </c>
      <c r="E134">
        <v>-7.85</v>
      </c>
      <c r="F134">
        <v>-525.95000000000005</v>
      </c>
      <c r="G134" cm="1">
        <f t="array" ref="G134">SUMPRODUCT(IF($E134=$O$2,$D134*$P$2,IF($E134=$O$3,$D134*$P$3,IF($E134=$O$4,$D134*$P$4,IF($E134=$O$5,$D134*$P$5,IF($E134=$O$6,$D134*$P$6, IF($E134=$O$7,$D134*$P$7,IF($E134=$O$8,$D134*$P$8,IF($E134=$O$9,$D134*$P$9,IF($E134=$O$10,$D134*$P$10,IF($E134=$O$11,$D134*$P$11,IF($E134=$O$12,$D134*$P$12,IF($E134=$O$13,$D134*$P$13,IF($E134=$O$14,$D134*$P$14,IF($E134=$O$15,$D134*$P$15,IF($E134=$O$16,$D134*$P$16,IF($E134=$O$17,$D134*$P$17,IF($E134=$O$18,$D134*$P$18,IF($E134=$O$19,$D134*$P$19,IF($E134=$O$20,$D134*$P$20,IF($E134=$O$21,$D134*$P$21,IF($E134=$O$22,$D134*$P$22,IF($E134=$O$23,$D134*$P$23,IF($E134=$O$24,$D134*$P$24,IF($E134=$O$25,$D134*$P$25,IF($E134=$O$26,$D134*$P$26,IF($E134=$O$27,$D134*$P$27,IF($E134=$O$28,$D134*$P$28,IF($E134=$O$29,$D134*$P$29,IF($E134=$O$30,$D134*$P$30,IF($E134=$O$31,$D134*$P$31,IF($E134=$O$32,$D134*$P$32,IF($E134=$O$33,$D134*$P$33,IF($E134=$O$34,$D134*$P$34,IF($E134=$O$35,$D134*$P$35,n/a)))))))))))))))))))))))))))))))))))</f>
        <v>-67</v>
      </c>
      <c r="H134" s="6">
        <f t="shared" si="5"/>
        <v>-670</v>
      </c>
    </row>
    <row r="135" spans="1:8" x14ac:dyDescent="0.25">
      <c r="A135">
        <v>1020</v>
      </c>
      <c r="B135" t="s">
        <v>111</v>
      </c>
      <c r="C135" t="s">
        <v>197</v>
      </c>
      <c r="D135">
        <v>178</v>
      </c>
      <c r="E135">
        <v>7.85</v>
      </c>
      <c r="F135">
        <v>1397.3</v>
      </c>
      <c r="G135" cm="1">
        <f t="array" ref="G135">SUMPRODUCT(IF($E135=$O$2,$D135*$P$2,IF($E135=$O$3,$D135*$P$3,IF($E135=$O$4,$D135*$P$4,IF($E135=$O$5,$D135*$P$5,IF($E135=$O$6,$D135*$P$6, IF($E135=$O$7,$D135*$P$7,IF($E135=$O$8,$D135*$P$8,IF($E135=$O$9,$D135*$P$9,IF($E135=$O$10,$D135*$P$10,IF($E135=$O$11,$D135*$P$11,IF($E135=$O$12,$D135*$P$12,IF($E135=$O$13,$D135*$P$13,IF($E135=$O$14,$D135*$P$14,IF($E135=$O$15,$D135*$P$15,IF($E135=$O$16,$D135*$P$16,IF($E135=$O$17,$D135*$P$17,IF($E135=$O$18,$D135*$P$18,IF($E135=$O$19,$D135*$P$19,IF($E135=$O$20,$D135*$P$20,IF($E135=$O$21,$D135*$P$21,IF($E135=$O$22,$D135*$P$22,IF($E135=$O$23,$D135*$P$23,IF($E135=$O$24,$D135*$P$24,IF($E135=$O$25,$D135*$P$25,IF($E135=$O$26,$D135*$P$26,IF($E135=$O$27,$D135*$P$27,IF($E135=$O$28,$D135*$P$28,IF($E135=$O$29,$D135*$P$29,IF($E135=$O$30,$D135*$P$30,IF($E135=$O$31,$D135*$P$31,IF($E135=$O$32,$D135*$P$32,IF($E135=$O$33,$D135*$P$33,IF($E135=$O$34,$D135*$P$34,IF($E135=$O$35,$D135*$P$35,n/a)))))))))))))))))))))))))))))))))))</f>
        <v>178</v>
      </c>
      <c r="H135" s="6">
        <f t="shared" si="5"/>
        <v>0</v>
      </c>
    </row>
    <row r="136" spans="1:8" x14ac:dyDescent="0.25">
      <c r="A136">
        <v>1020</v>
      </c>
      <c r="B136" t="s">
        <v>111</v>
      </c>
      <c r="C136" t="s">
        <v>197</v>
      </c>
      <c r="D136">
        <v>10</v>
      </c>
      <c r="E136">
        <v>15.7</v>
      </c>
      <c r="F136">
        <v>157</v>
      </c>
      <c r="G136" cm="1">
        <f t="array" ref="G136">SUMPRODUCT(IF($E136=$O$2,$D136*$P$2,IF($E136=$O$3,$D136*$P$3,IF($E136=$O$4,$D136*$P$4,IF($E136=$O$5,$D136*$P$5,IF($E136=$O$6,$D136*$P$6, IF($E136=$O$7,$D136*$P$7,IF($E136=$O$8,$D136*$P$8,IF($E136=$O$9,$D136*$P$9,IF($E136=$O$10,$D136*$P$10,IF($E136=$O$11,$D136*$P$11,IF($E136=$O$12,$D136*$P$12,IF($E136=$O$13,$D136*$P$13,IF($E136=$O$14,$D136*$P$14,IF($E136=$O$15,$D136*$P$15,IF($E136=$O$16,$D136*$P$16,IF($E136=$O$17,$D136*$P$17,IF($E136=$O$18,$D136*$P$18,IF($E136=$O$19,$D136*$P$19,IF($E136=$O$20,$D136*$P$20,IF($E136=$O$21,$D136*$P$21,IF($E136=$O$22,$D136*$P$22,IF($E136=$O$23,$D136*$P$23,IF($E136=$O$24,$D136*$P$24,IF($E136=$O$25,$D136*$P$25,IF($E136=$O$26,$D136*$P$26,IF($E136=$O$27,$D136*$P$27,IF($E136=$O$28,$D136*$P$28,IF($E136=$O$29,$D136*$P$29,IF($E136=$O$30,$D136*$P$30,IF($E136=$O$31,$D136*$P$31,IF($E136=$O$32,$D136*$P$32,IF($E136=$O$33,$D136*$P$33,IF($E136=$O$34,$D136*$P$34,IF($E136=$O$35,$D136*$P$35,n/a)))))))))))))))))))))))))))))))))))</f>
        <v>20</v>
      </c>
      <c r="H136" s="6">
        <f t="shared" si="5"/>
        <v>0</v>
      </c>
    </row>
    <row r="137" spans="1:8" x14ac:dyDescent="0.25">
      <c r="A137">
        <v>1020</v>
      </c>
      <c r="B137" t="s">
        <v>113</v>
      </c>
      <c r="C137" t="s">
        <v>197</v>
      </c>
      <c r="D137">
        <v>188</v>
      </c>
      <c r="E137">
        <v>7.85</v>
      </c>
      <c r="F137">
        <v>1475.8</v>
      </c>
      <c r="G137" cm="1">
        <f t="array" ref="G137">SUMPRODUCT(IF($E137=$O$2,$D137*$P$2,IF($E137=$O$3,$D137*$P$3,IF($E137=$O$4,$D137*$P$4,IF($E137=$O$5,$D137*$P$5,IF($E137=$O$6,$D137*$P$6, IF($E137=$O$7,$D137*$P$7,IF($E137=$O$8,$D137*$P$8,IF($E137=$O$9,$D137*$P$9,IF($E137=$O$10,$D137*$P$10,IF($E137=$O$11,$D137*$P$11,IF($E137=$O$12,$D137*$P$12,IF($E137=$O$13,$D137*$P$13,IF($E137=$O$14,$D137*$P$14,IF($E137=$O$15,$D137*$P$15,IF($E137=$O$16,$D137*$P$16,IF($E137=$O$17,$D137*$P$17,IF($E137=$O$18,$D137*$P$18,IF($E137=$O$19,$D137*$P$19,IF($E137=$O$20,$D137*$P$20,IF($E137=$O$21,$D137*$P$21,IF($E137=$O$22,$D137*$P$22,IF($E137=$O$23,$D137*$P$23,IF($E137=$O$24,$D137*$P$24,IF($E137=$O$25,$D137*$P$25,IF($E137=$O$26,$D137*$P$26,IF($E137=$O$27,$D137*$P$27,IF($E137=$O$28,$D137*$P$28,IF($E137=$O$29,$D137*$P$29,IF($E137=$O$30,$D137*$P$30,IF($E137=$O$31,$D137*$P$31,IF($E137=$O$32,$D137*$P$32,IF($E137=$O$33,$D137*$P$33,IF($E137=$O$34,$D137*$P$34,IF($E137=$O$35,$D137*$P$35,n/a)))))))))))))))))))))))))))))))))))</f>
        <v>188</v>
      </c>
      <c r="H137" s="6">
        <f t="shared" si="5"/>
        <v>0</v>
      </c>
    </row>
    <row r="138" spans="1:8" x14ac:dyDescent="0.25">
      <c r="A138">
        <v>1020</v>
      </c>
      <c r="B138" t="s">
        <v>113</v>
      </c>
      <c r="C138" t="s">
        <v>197</v>
      </c>
      <c r="D138">
        <v>13</v>
      </c>
      <c r="E138">
        <v>15.7</v>
      </c>
      <c r="F138">
        <v>204.1</v>
      </c>
      <c r="G138" cm="1">
        <f t="array" ref="G138">SUMPRODUCT(IF($E138=$O$2,$D138*$P$2,IF($E138=$O$3,$D138*$P$3,IF($E138=$O$4,$D138*$P$4,IF($E138=$O$5,$D138*$P$5,IF($E138=$O$6,$D138*$P$6, IF($E138=$O$7,$D138*$P$7,IF($E138=$O$8,$D138*$P$8,IF($E138=$O$9,$D138*$P$9,IF($E138=$O$10,$D138*$P$10,IF($E138=$O$11,$D138*$P$11,IF($E138=$O$12,$D138*$P$12,IF($E138=$O$13,$D138*$P$13,IF($E138=$O$14,$D138*$P$14,IF($E138=$O$15,$D138*$P$15,IF($E138=$O$16,$D138*$P$16,IF($E138=$O$17,$D138*$P$17,IF($E138=$O$18,$D138*$P$18,IF($E138=$O$19,$D138*$P$19,IF($E138=$O$20,$D138*$P$20,IF($E138=$O$21,$D138*$P$21,IF($E138=$O$22,$D138*$P$22,IF($E138=$O$23,$D138*$P$23,IF($E138=$O$24,$D138*$P$24,IF($E138=$O$25,$D138*$P$25,IF($E138=$O$26,$D138*$P$26,IF($E138=$O$27,$D138*$P$27,IF($E138=$O$28,$D138*$P$28,IF($E138=$O$29,$D138*$P$29,IF($E138=$O$30,$D138*$P$30,IF($E138=$O$31,$D138*$P$31,IF($E138=$O$32,$D138*$P$32,IF($E138=$O$33,$D138*$P$33,IF($E138=$O$34,$D138*$P$34,IF($E138=$O$35,$D138*$P$35,n/a)))))))))))))))))))))))))))))))))))</f>
        <v>26</v>
      </c>
      <c r="H138" s="6">
        <f t="shared" si="5"/>
        <v>0</v>
      </c>
    </row>
    <row r="139" spans="1:8" x14ac:dyDescent="0.25">
      <c r="A139">
        <v>1020</v>
      </c>
      <c r="B139" t="s">
        <v>184</v>
      </c>
      <c r="C139" t="s">
        <v>197</v>
      </c>
      <c r="D139">
        <v>98</v>
      </c>
      <c r="E139">
        <v>6.8</v>
      </c>
      <c r="F139">
        <v>666.4</v>
      </c>
      <c r="G139" cm="1">
        <f t="array" ref="G139">SUMPRODUCT(IF($E139=$O$2,$D139*$P$2,IF($E139=$O$3,$D139*$P$3,IF($E139=$O$4,$D139*$P$4,IF($E139=$O$5,$D139*$P$5,IF($E139=$O$6,$D139*$P$6, IF($E139=$O$7,$D139*$P$7,IF($E139=$O$8,$D139*$P$8,IF($E139=$O$9,$D139*$P$9,IF($E139=$O$10,$D139*$P$10,IF($E139=$O$11,$D139*$P$11,IF($E139=$O$12,$D139*$P$12,IF($E139=$O$13,$D139*$P$13,IF($E139=$O$14,$D139*$P$14,IF($E139=$O$15,$D139*$P$15,IF($E139=$O$16,$D139*$P$16,IF($E139=$O$17,$D139*$P$17,IF($E139=$O$18,$D139*$P$18,IF($E139=$O$19,$D139*$P$19,IF($E139=$O$20,$D139*$P$20,IF($E139=$O$21,$D139*$P$21,IF($E139=$O$22,$D139*$P$22,IF($E139=$O$23,$D139*$P$23,IF($E139=$O$24,$D139*$P$24,IF($E139=$O$25,$D139*$P$25,IF($E139=$O$26,$D139*$P$26,IF($E139=$O$27,$D139*$P$27,IF($E139=$O$28,$D139*$P$28,IF($E139=$O$29,$D139*$P$29,IF($E139=$O$30,$D139*$P$30,IF($E139=$O$31,$D139*$P$31,IF($E139=$O$32,$D139*$P$32,IF($E139=$O$33,$D139*$P$33,IF($E139=$O$34,$D139*$P$34,IF($E139=$O$35,$D139*$P$35,n/a)))))))))))))))))))))))))))))))))))</f>
        <v>98</v>
      </c>
      <c r="H139" s="6">
        <f t="shared" si="5"/>
        <v>0</v>
      </c>
    </row>
    <row r="140" spans="1:8" x14ac:dyDescent="0.25">
      <c r="A140">
        <v>1020</v>
      </c>
      <c r="B140" t="s">
        <v>115</v>
      </c>
      <c r="C140" t="s">
        <v>197</v>
      </c>
      <c r="D140">
        <v>202</v>
      </c>
      <c r="E140">
        <v>7.85</v>
      </c>
      <c r="F140">
        <v>1585.7</v>
      </c>
      <c r="G140" cm="1">
        <f t="array" ref="G140">SUMPRODUCT(IF($E140=$O$2,$D140*$P$2,IF($E140=$O$3,$D140*$P$3,IF($E140=$O$4,$D140*$P$4,IF($E140=$O$5,$D140*$P$5,IF($E140=$O$6,$D140*$P$6, IF($E140=$O$7,$D140*$P$7,IF($E140=$O$8,$D140*$P$8,IF($E140=$O$9,$D140*$P$9,IF($E140=$O$10,$D140*$P$10,IF($E140=$O$11,$D140*$P$11,IF($E140=$O$12,$D140*$P$12,IF($E140=$O$13,$D140*$P$13,IF($E140=$O$14,$D140*$P$14,IF($E140=$O$15,$D140*$P$15,IF($E140=$O$16,$D140*$P$16,IF($E140=$O$17,$D140*$P$17,IF($E140=$O$18,$D140*$P$18,IF($E140=$O$19,$D140*$P$19,IF($E140=$O$20,$D140*$P$20,IF($E140=$O$21,$D140*$P$21,IF($E140=$O$22,$D140*$P$22,IF($E140=$O$23,$D140*$P$23,IF($E140=$O$24,$D140*$P$24,IF($E140=$O$25,$D140*$P$25,IF($E140=$O$26,$D140*$P$26,IF($E140=$O$27,$D140*$P$27,IF($E140=$O$28,$D140*$P$28,IF($E140=$O$29,$D140*$P$29,IF($E140=$O$30,$D140*$P$30,IF($E140=$O$31,$D140*$P$31,IF($E140=$O$32,$D140*$P$32,IF($E140=$O$33,$D140*$P$33,IF($E140=$O$34,$D140*$P$34,IF($E140=$O$35,$D140*$P$35,n/a)))))))))))))))))))))))))))))))))))</f>
        <v>202</v>
      </c>
      <c r="H140" s="6">
        <f t="shared" si="5"/>
        <v>0</v>
      </c>
    </row>
    <row r="141" spans="1:8" x14ac:dyDescent="0.25">
      <c r="A141">
        <v>1020</v>
      </c>
      <c r="B141" t="s">
        <v>185</v>
      </c>
      <c r="C141" t="s">
        <v>197</v>
      </c>
      <c r="D141">
        <v>2</v>
      </c>
      <c r="E141">
        <v>12.8</v>
      </c>
      <c r="F141">
        <v>25.6</v>
      </c>
      <c r="G141" cm="1">
        <f t="array" ref="G141">SUMPRODUCT(IF($E141=$O$2,$D141*$P$2,IF($E141=$O$3,$D141*$P$3,IF($E141=$O$4,$D141*$P$4,IF($E141=$O$5,$D141*$P$5,IF($E141=$O$6,$D141*$P$6, IF($E141=$O$7,$D141*$P$7,IF($E141=$O$8,$D141*$P$8,IF($E141=$O$9,$D141*$P$9,IF($E141=$O$10,$D141*$P$10,IF($E141=$O$11,$D141*$P$11,IF($E141=$O$12,$D141*$P$12,IF($E141=$O$13,$D141*$P$13,IF($E141=$O$14,$D141*$P$14,IF($E141=$O$15,$D141*$P$15,IF($E141=$O$16,$D141*$P$16,IF($E141=$O$17,$D141*$P$17,IF($E141=$O$18,$D141*$P$18,IF($E141=$O$19,$D141*$P$19,IF($E141=$O$20,$D141*$P$20,IF($E141=$O$21,$D141*$P$21,IF($E141=$O$22,$D141*$P$22,IF($E141=$O$23,$D141*$P$23,IF($E141=$O$24,$D141*$P$24,IF($E141=$O$25,$D141*$P$25,IF($E141=$O$26,$D141*$P$26,IF($E141=$O$27,$D141*$P$27,IF($E141=$O$28,$D141*$P$28,IF($E141=$O$29,$D141*$P$29,IF($E141=$O$30,$D141*$P$30,IF($E141=$O$31,$D141*$P$31,IF($E141=$O$32,$D141*$P$32,IF($E141=$O$33,$D141*$P$33,IF($E141=$O$34,$D141*$P$34,IF($E141=$O$35,$D141*$P$35,n/a)))))))))))))))))))))))))))))))))))</f>
        <v>2</v>
      </c>
      <c r="H141" s="6">
        <f>IF($E141&lt;0,$G141*10,0)</f>
        <v>0</v>
      </c>
    </row>
    <row r="142" spans="1:8" x14ac:dyDescent="0.25">
      <c r="A142">
        <v>1020</v>
      </c>
      <c r="B142" t="s">
        <v>115</v>
      </c>
      <c r="C142" t="s">
        <v>197</v>
      </c>
      <c r="D142">
        <v>2</v>
      </c>
      <c r="E142">
        <v>15.7</v>
      </c>
      <c r="F142">
        <v>31.4</v>
      </c>
      <c r="G142" cm="1">
        <f t="array" ref="G142">SUMPRODUCT(IF($E142=$O$2,$D142*$P$2,IF($E142=$O$3,$D142*$P$3,IF($E142=$O$4,$D142*$P$4,IF($E142=$O$5,$D142*$P$5,IF($E142=$O$6,$D142*$P$6, IF($E142=$O$7,$D142*$P$7,IF($E142=$O$8,$D142*$P$8,IF($E142=$O$9,$D142*$P$9,IF($E142=$O$10,$D142*$P$10,IF($E142=$O$11,$D142*$P$11,IF($E142=$O$12,$D142*$P$12,IF($E142=$O$13,$D142*$P$13,IF($E142=$O$14,$D142*$P$14,IF($E142=$O$15,$D142*$P$15,IF($E142=$O$16,$D142*$P$16,IF($E142=$O$17,$D142*$P$17,IF($E142=$O$18,$D142*$P$18,IF($E142=$O$19,$D142*$P$19,IF($E142=$O$20,$D142*$P$20,IF($E142=$O$21,$D142*$P$21,IF($E142=$O$22,$D142*$P$22,IF($E142=$O$23,$D142*$P$23,IF($E142=$O$24,$D142*$P$24,IF($E142=$O$25,$D142*$P$25,IF($E142=$O$26,$D142*$P$26,IF($E142=$O$27,$D142*$P$27,IF($E142=$O$28,$D142*$P$28,IF($E142=$O$29,$D142*$P$29,IF($E142=$O$30,$D142*$P$30,IF($E142=$O$31,$D142*$P$31,IF($E142=$O$32,$D142*$P$32,IF($E142=$O$33,$D142*$P$33,IF($E142=$O$34,$D142*$P$34,IF($E142=$O$35,$D142*$P$35,n/a)))))))))))))))))))))))))))))))))))</f>
        <v>4</v>
      </c>
      <c r="H142" s="6">
        <f t="shared" ref="H142:H146" si="6">IF($E142&lt;0,$G142*10,0)</f>
        <v>0</v>
      </c>
    </row>
    <row r="143" spans="1:8" x14ac:dyDescent="0.25">
      <c r="A143">
        <v>1020</v>
      </c>
      <c r="B143" t="s">
        <v>115</v>
      </c>
      <c r="C143" t="s">
        <v>197</v>
      </c>
      <c r="D143">
        <v>1</v>
      </c>
      <c r="E143">
        <v>-7.85</v>
      </c>
      <c r="F143">
        <v>-7.85</v>
      </c>
      <c r="G143" cm="1">
        <f t="array" ref="G143">SUMPRODUCT(IF($E143=$O$2,$D143*$P$2,IF($E143=$O$3,$D143*$P$3,IF($E143=$O$4,$D143*$P$4,IF($E143=$O$5,$D143*$P$5,IF($E143=$O$6,$D143*$P$6, IF($E143=$O$7,$D143*$P$7,IF($E143=$O$8,$D143*$P$8,IF($E143=$O$9,$D143*$P$9,IF($E143=$O$10,$D143*$P$10,IF($E143=$O$11,$D143*$P$11,IF($E143=$O$12,$D143*$P$12,IF($E143=$O$13,$D143*$P$13,IF($E143=$O$14,$D143*$P$14,IF($E143=$O$15,$D143*$P$15,IF($E143=$O$16,$D143*$P$16,IF($E143=$O$17,$D143*$P$17,IF($E143=$O$18,$D143*$P$18,IF($E143=$O$19,$D143*$P$19,IF($E143=$O$20,$D143*$P$20,IF($E143=$O$21,$D143*$P$21,IF($E143=$O$22,$D143*$P$22,IF($E143=$O$23,$D143*$P$23,IF($E143=$O$24,$D143*$P$24,IF($E143=$O$25,$D143*$P$25,IF($E143=$O$26,$D143*$P$26,IF($E143=$O$27,$D143*$P$27,IF($E143=$O$28,$D143*$P$28,IF($E143=$O$29,$D143*$P$29,IF($E143=$O$30,$D143*$P$30,IF($E143=$O$31,$D143*$P$31,IF($E143=$O$32,$D143*$P$32,IF($E143=$O$33,$D143*$P$33,IF($E143=$O$34,$D143*$P$34,IF($E143=$O$35,$D143*$P$35,n/a)))))))))))))))))))))))))))))))))))</f>
        <v>-1</v>
      </c>
      <c r="H143" s="6">
        <f t="shared" si="6"/>
        <v>-10</v>
      </c>
    </row>
    <row r="144" spans="1:8" x14ac:dyDescent="0.25">
      <c r="A144">
        <v>1020</v>
      </c>
      <c r="B144" t="s">
        <v>186</v>
      </c>
      <c r="C144" t="s">
        <v>197</v>
      </c>
      <c r="D144">
        <v>102</v>
      </c>
      <c r="E144">
        <v>6.8</v>
      </c>
      <c r="F144">
        <v>693.6</v>
      </c>
      <c r="G144" cm="1">
        <f t="array" ref="G144">SUMPRODUCT(IF($E144=$O$2,$D144*$P$2,IF($E144=$O$3,$D144*$P$3,IF($E144=$O$4,$D144*$P$4,IF($E144=$O$5,$D144*$P$5,IF($E144=$O$6,$D144*$P$6, IF($E144=$O$7,$D144*$P$7,IF($E144=$O$8,$D144*$P$8,IF($E144=$O$9,$D144*$P$9,IF($E144=$O$10,$D144*$P$10,IF($E144=$O$11,$D144*$P$11,IF($E144=$O$12,$D144*$P$12,IF($E144=$O$13,$D144*$P$13,IF($E144=$O$14,$D144*$P$14,IF($E144=$O$15,$D144*$P$15,IF($E144=$O$16,$D144*$P$16,IF($E144=$O$17,$D144*$P$17,IF($E144=$O$18,$D144*$P$18,IF($E144=$O$19,$D144*$P$19,IF($E144=$O$20,$D144*$P$20,IF($E144=$O$21,$D144*$P$21,IF($E144=$O$22,$D144*$P$22,IF($E144=$O$23,$D144*$P$23,IF($E144=$O$24,$D144*$P$24,IF($E144=$O$25,$D144*$P$25,IF($E144=$O$26,$D144*$P$26,IF($E144=$O$27,$D144*$P$27,IF($E144=$O$28,$D144*$P$28,IF($E144=$O$29,$D144*$P$29,IF($E144=$O$30,$D144*$P$30,IF($E144=$O$31,$D144*$P$31,IF($E144=$O$32,$D144*$P$32,IF($E144=$O$33,$D144*$P$33,IF($E144=$O$34,$D144*$P$34,IF($E144=$O$35,$D144*$P$35,n/a)))))))))))))))))))))))))))))))))))</f>
        <v>102</v>
      </c>
      <c r="H144" s="6">
        <f t="shared" si="6"/>
        <v>0</v>
      </c>
    </row>
    <row r="145" spans="1:8" x14ac:dyDescent="0.25">
      <c r="A145">
        <v>1020</v>
      </c>
      <c r="B145" t="s">
        <v>117</v>
      </c>
      <c r="C145" t="s">
        <v>197</v>
      </c>
      <c r="D145">
        <v>205</v>
      </c>
      <c r="E145">
        <v>7.85</v>
      </c>
      <c r="F145">
        <v>1609.25</v>
      </c>
      <c r="G145" cm="1">
        <f t="array" ref="G145">SUMPRODUCT(IF($E145=$O$2,$D145*$P$2,IF($E145=$O$3,$D145*$P$3,IF($E145=$O$4,$D145*$P$4,IF($E145=$O$5,$D145*$P$5,IF($E145=$O$6,$D145*$P$6, IF($E145=$O$7,$D145*$P$7,IF($E145=$O$8,$D145*$P$8,IF($E145=$O$9,$D145*$P$9,IF($E145=$O$10,$D145*$P$10,IF($E145=$O$11,$D145*$P$11,IF($E145=$O$12,$D145*$P$12,IF($E145=$O$13,$D145*$P$13,IF($E145=$O$14,$D145*$P$14,IF($E145=$O$15,$D145*$P$15,IF($E145=$O$16,$D145*$P$16,IF($E145=$O$17,$D145*$P$17,IF($E145=$O$18,$D145*$P$18,IF($E145=$O$19,$D145*$P$19,IF($E145=$O$20,$D145*$P$20,IF($E145=$O$21,$D145*$P$21,IF($E145=$O$22,$D145*$P$22,IF($E145=$O$23,$D145*$P$23,IF($E145=$O$24,$D145*$P$24,IF($E145=$O$25,$D145*$P$25,IF($E145=$O$26,$D145*$P$26,IF($E145=$O$27,$D145*$P$27,IF($E145=$O$28,$D145*$P$28,IF($E145=$O$29,$D145*$P$29,IF($E145=$O$30,$D145*$P$30,IF($E145=$O$31,$D145*$P$31,IF($E145=$O$32,$D145*$P$32,IF($E145=$O$33,$D145*$P$33,IF($E145=$O$34,$D145*$P$34,IF($E145=$O$35,$D145*$P$35,n/a)))))))))))))))))))))))))))))))))))</f>
        <v>205</v>
      </c>
      <c r="H145" s="6">
        <f t="shared" si="6"/>
        <v>0</v>
      </c>
    </row>
    <row r="146" spans="1:8" x14ac:dyDescent="0.25">
      <c r="A146">
        <v>1020</v>
      </c>
      <c r="B146" t="s">
        <v>119</v>
      </c>
      <c r="C146" t="s">
        <v>197</v>
      </c>
      <c r="D146">
        <v>473</v>
      </c>
      <c r="E146">
        <v>7.85</v>
      </c>
      <c r="F146">
        <v>3713.05</v>
      </c>
      <c r="G146" cm="1">
        <f t="array" ref="G146">SUMPRODUCT(IF($E146=$O$2,$D146*$P$2,IF($E146=$O$3,$D146*$P$3,IF($E146=$O$4,$D146*$P$4,IF($E146=$O$5,$D146*$P$5,IF($E146=$O$6,$D146*$P$6, IF($E146=$O$7,$D146*$P$7,IF($E146=$O$8,$D146*$P$8,IF($E146=$O$9,$D146*$P$9,IF($E146=$O$10,$D146*$P$10,IF($E146=$O$11,$D146*$P$11,IF($E146=$O$12,$D146*$P$12,IF($E146=$O$13,$D146*$P$13,IF($E146=$O$14,$D146*$P$14,IF($E146=$O$15,$D146*$P$15,IF($E146=$O$16,$D146*$P$16,IF($E146=$O$17,$D146*$P$17,IF($E146=$O$18,$D146*$P$18,IF($E146=$O$19,$D146*$P$19,IF($E146=$O$20,$D146*$P$20,IF($E146=$O$21,$D146*$P$21,IF($E146=$O$22,$D146*$P$22,IF($E146=$O$23,$D146*$P$23,IF($E146=$O$24,$D146*$P$24,IF($E146=$O$25,$D146*$P$25,IF($E146=$O$26,$D146*$P$26,IF($E146=$O$27,$D146*$P$27,IF($E146=$O$28,$D146*$P$28,IF($E146=$O$29,$D146*$P$29,IF($E146=$O$30,$D146*$P$30,IF($E146=$O$31,$D146*$P$31,IF($E146=$O$32,$D146*$P$32,IF($E146=$O$33,$D146*$P$33,IF($E146=$O$34,$D146*$P$34,IF($E146=$O$35,$D146*$P$35,n/a)))))))))))))))))))))))))))))))))))</f>
        <v>473</v>
      </c>
      <c r="H146" s="6">
        <f t="shared" si="6"/>
        <v>0</v>
      </c>
    </row>
    <row r="147" spans="1:8" x14ac:dyDescent="0.25">
      <c r="A147">
        <v>1020</v>
      </c>
      <c r="B147" t="s">
        <v>121</v>
      </c>
      <c r="C147" t="s">
        <v>197</v>
      </c>
      <c r="D147">
        <v>345</v>
      </c>
      <c r="E147">
        <v>7.85</v>
      </c>
      <c r="F147">
        <v>2708.25</v>
      </c>
      <c r="G147" cm="1">
        <f t="array" ref="G147">SUMPRODUCT(IF($E147=$O$2,$D147*$P$2,IF($E147=$O$3,$D147*$P$3,IF($E147=$O$4,$D147*$P$4,IF($E147=$O$5,$D147*$P$5,IF($E147=$O$6,$D147*$P$6, IF($E147=$O$7,$D147*$P$7,IF($E147=$O$8,$D147*$P$8,IF($E147=$O$9,$D147*$P$9,IF($E147=$O$10,$D147*$P$10,IF($E147=$O$11,$D147*$P$11,IF($E147=$O$12,$D147*$P$12,IF($E147=$O$13,$D147*$P$13,IF($E147=$O$14,$D147*$P$14,IF($E147=$O$15,$D147*$P$15,IF($E147=$O$16,$D147*$P$16,IF($E147=$O$17,$D147*$P$17,IF($E147=$O$18,$D147*$P$18,IF($E147=$O$19,$D147*$P$19,IF($E147=$O$20,$D147*$P$20,IF($E147=$O$21,$D147*$P$21,IF($E147=$O$22,$D147*$P$22,IF($E147=$O$23,$D147*$P$23,IF($E147=$O$24,$D147*$P$24,IF($E147=$O$25,$D147*$P$25,IF($E147=$O$26,$D147*$P$26,IF($E147=$O$27,$D147*$P$27,IF($E147=$O$28,$D147*$P$28,IF($E147=$O$29,$D147*$P$29,IF($E147=$O$30,$D147*$P$30,IF($E147=$O$31,$D147*$P$31,IF($E147=$O$32,$D147*$P$32,IF($E147=$O$33,$D147*$P$33,IF($E147=$O$34,$D147*$P$34,IF($E147=$O$35,$D147*$P$35,n/a)))))))))))))))))))))))))))))))))))</f>
        <v>345</v>
      </c>
      <c r="H147" s="31">
        <f>IF($E147&lt;0,$G147*10,0)</f>
        <v>0</v>
      </c>
    </row>
    <row r="148" spans="1:8" x14ac:dyDescent="0.25">
      <c r="A148">
        <v>1020</v>
      </c>
      <c r="B148" t="s">
        <v>121</v>
      </c>
      <c r="C148" t="s">
        <v>197</v>
      </c>
      <c r="D148">
        <v>6</v>
      </c>
      <c r="E148">
        <v>15.7</v>
      </c>
      <c r="F148">
        <v>94.2</v>
      </c>
      <c r="G148" cm="1">
        <f t="array" ref="G148">SUMPRODUCT(IF($E148=$O$2,$D148*$P$2,IF($E148=$O$3,$D148*$P$3,IF($E148=$O$4,$D148*$P$4,IF($E148=$O$5,$D148*$P$5,IF($E148=$O$6,$D148*$P$6, IF($E148=$O$7,$D148*$P$7,IF($E148=$O$8,$D148*$P$8,IF($E148=$O$9,$D148*$P$9,IF($E148=$O$10,$D148*$P$10,IF($E148=$O$11,$D148*$P$11,IF($E148=$O$12,$D148*$P$12,IF($E148=$O$13,$D148*$P$13,IF($E148=$O$14,$D148*$P$14,IF($E148=$O$15,$D148*$P$15,IF($E148=$O$16,$D148*$P$16,IF($E148=$O$17,$D148*$P$17,IF($E148=$O$18,$D148*$P$18,IF($E148=$O$19,$D148*$P$19,IF($E148=$O$20,$D148*$P$20,IF($E148=$O$21,$D148*$P$21,IF($E148=$O$22,$D148*$P$22,IF($E148=$O$23,$D148*$P$23,IF($E148=$O$24,$D148*$P$24,IF($E148=$O$25,$D148*$P$25,IF($E148=$O$26,$D148*$P$26,IF($E148=$O$27,$D148*$P$27,IF($E148=$O$28,$D148*$P$28,IF($E148=$O$29,$D148*$P$29,IF($E148=$O$30,$D148*$P$30,IF($E148=$O$31,$D148*$P$31,IF($E148=$O$32,$D148*$P$32,IF($E148=$O$33,$D148*$P$33,IF($E148=$O$34,$D148*$P$34,IF($E148=$O$35,$D148*$P$35,n/a)))))))))))))))))))))))))))))))))))</f>
        <v>12</v>
      </c>
      <c r="H148" s="6">
        <f t="shared" ref="H148:H154" si="7">IF($E148&lt;0,$G148*10,0)</f>
        <v>0</v>
      </c>
    </row>
    <row r="149" spans="1:8" x14ac:dyDescent="0.25">
      <c r="A149">
        <v>1020</v>
      </c>
      <c r="B149" t="s">
        <v>121</v>
      </c>
      <c r="C149" t="s">
        <v>197</v>
      </c>
      <c r="D149">
        <v>1</v>
      </c>
      <c r="E149">
        <v>23.55</v>
      </c>
      <c r="F149">
        <v>23.55</v>
      </c>
      <c r="G149" cm="1">
        <f t="array" ref="G149">SUMPRODUCT(IF($E149=$O$2,$D149*$P$2,IF($E149=$O$3,$D149*$P$3,IF($E149=$O$4,$D149*$P$4,IF($E149=$O$5,$D149*$P$5,IF($E149=$O$6,$D149*$P$6, IF($E149=$O$7,$D149*$P$7,IF($E149=$O$8,$D149*$P$8,IF($E149=$O$9,$D149*$P$9,IF($E149=$O$10,$D149*$P$10,IF($E149=$O$11,$D149*$P$11,IF($E149=$O$12,$D149*$P$12,IF($E149=$O$13,$D149*$P$13,IF($E149=$O$14,$D149*$P$14,IF($E149=$O$15,$D149*$P$15,IF($E149=$O$16,$D149*$P$16,IF($E149=$O$17,$D149*$P$17,IF($E149=$O$18,$D149*$P$18,IF($E149=$O$19,$D149*$P$19,IF($E149=$O$20,$D149*$P$20,IF($E149=$O$21,$D149*$P$21,IF($E149=$O$22,$D149*$P$22,IF($E149=$O$23,$D149*$P$23,IF($E149=$O$24,$D149*$P$24,IF($E149=$O$25,$D149*$P$25,IF($E149=$O$26,$D149*$P$26,IF($E149=$O$27,$D149*$P$27,IF($E149=$O$28,$D149*$P$28,IF($E149=$O$29,$D149*$P$29,IF($E149=$O$30,$D149*$P$30,IF($E149=$O$31,$D149*$P$31,IF($E149=$O$32,$D149*$P$32,IF($E149=$O$33,$D149*$P$33,IF($E149=$O$34,$D149*$P$34,IF($E149=$O$35,$D149*$P$35,n/a)))))))))))))))))))))))))))))))))))</f>
        <v>3</v>
      </c>
      <c r="H149" s="6">
        <f t="shared" si="7"/>
        <v>0</v>
      </c>
    </row>
    <row r="150" spans="1:8" x14ac:dyDescent="0.25">
      <c r="A150">
        <v>1020</v>
      </c>
      <c r="B150" t="s">
        <v>123</v>
      </c>
      <c r="C150" t="s">
        <v>197</v>
      </c>
      <c r="D150">
        <v>307</v>
      </c>
      <c r="E150">
        <v>7.85</v>
      </c>
      <c r="F150">
        <v>2409.9499999999998</v>
      </c>
      <c r="G150" cm="1">
        <f t="array" ref="G150">SUMPRODUCT(IF($E150=$O$2,$D150*$P$2,IF($E150=$O$3,$D150*$P$3,IF($E150=$O$4,$D150*$P$4,IF($E150=$O$5,$D150*$P$5,IF($E150=$O$6,$D150*$P$6, IF($E150=$O$7,$D150*$P$7,IF($E150=$O$8,$D150*$P$8,IF($E150=$O$9,$D150*$P$9,IF($E150=$O$10,$D150*$P$10,IF($E150=$O$11,$D150*$P$11,IF($E150=$O$12,$D150*$P$12,IF($E150=$O$13,$D150*$P$13,IF($E150=$O$14,$D150*$P$14,IF($E150=$O$15,$D150*$P$15,IF($E150=$O$16,$D150*$P$16,IF($E150=$O$17,$D150*$P$17,IF($E150=$O$18,$D150*$P$18,IF($E150=$O$19,$D150*$P$19,IF($E150=$O$20,$D150*$P$20,IF($E150=$O$21,$D150*$P$21,IF($E150=$O$22,$D150*$P$22,IF($E150=$O$23,$D150*$P$23,IF($E150=$O$24,$D150*$P$24,IF($E150=$O$25,$D150*$P$25,IF($E150=$O$26,$D150*$P$26,IF($E150=$O$27,$D150*$P$27,IF($E150=$O$28,$D150*$P$28,IF($E150=$O$29,$D150*$P$29,IF($E150=$O$30,$D150*$P$30,IF($E150=$O$31,$D150*$P$31,IF($E150=$O$32,$D150*$P$32,IF($E150=$O$33,$D150*$P$33,IF($E150=$O$34,$D150*$P$34,IF($E150=$O$35,$D150*$P$35,n/a)))))))))))))))))))))))))))))))))))</f>
        <v>307</v>
      </c>
      <c r="H150" s="6">
        <f t="shared" si="7"/>
        <v>0</v>
      </c>
    </row>
    <row r="151" spans="1:8" x14ac:dyDescent="0.25">
      <c r="A151">
        <v>1020</v>
      </c>
      <c r="B151" t="s">
        <v>123</v>
      </c>
      <c r="C151" t="s">
        <v>197</v>
      </c>
      <c r="D151">
        <v>1</v>
      </c>
      <c r="E151">
        <v>15.7</v>
      </c>
      <c r="F151">
        <v>15.7</v>
      </c>
      <c r="G151" cm="1">
        <f t="array" ref="G151">SUMPRODUCT(IF($E151=$O$2,$D151*$P$2,IF($E151=$O$3,$D151*$P$3,IF($E151=$O$4,$D151*$P$4,IF($E151=$O$5,$D151*$P$5,IF($E151=$O$6,$D151*$P$6, IF($E151=$O$7,$D151*$P$7,IF($E151=$O$8,$D151*$P$8,IF($E151=$O$9,$D151*$P$9,IF($E151=$O$10,$D151*$P$10,IF($E151=$O$11,$D151*$P$11,IF($E151=$O$12,$D151*$P$12,IF($E151=$O$13,$D151*$P$13,IF($E151=$O$14,$D151*$P$14,IF($E151=$O$15,$D151*$P$15,IF($E151=$O$16,$D151*$P$16,IF($E151=$O$17,$D151*$P$17,IF($E151=$O$18,$D151*$P$18,IF($E151=$O$19,$D151*$P$19,IF($E151=$O$20,$D151*$P$20,IF($E151=$O$21,$D151*$P$21,IF($E151=$O$22,$D151*$P$22,IF($E151=$O$23,$D151*$P$23,IF($E151=$O$24,$D151*$P$24,IF($E151=$O$25,$D151*$P$25,IF($E151=$O$26,$D151*$P$26,IF($E151=$O$27,$D151*$P$27,IF($E151=$O$28,$D151*$P$28,IF($E151=$O$29,$D151*$P$29,IF($E151=$O$30,$D151*$P$30,IF($E151=$O$31,$D151*$P$31,IF($E151=$O$32,$D151*$P$32,IF($E151=$O$33,$D151*$P$33,IF($E151=$O$34,$D151*$P$34,IF($E151=$O$35,$D151*$P$35,n/a)))))))))))))))))))))))))))))))))))</f>
        <v>2</v>
      </c>
      <c r="H151" s="6">
        <f t="shared" si="7"/>
        <v>0</v>
      </c>
    </row>
    <row r="152" spans="1:8" x14ac:dyDescent="0.25">
      <c r="A152">
        <v>1020</v>
      </c>
      <c r="B152" t="s">
        <v>123</v>
      </c>
      <c r="C152" t="s">
        <v>197</v>
      </c>
      <c r="D152">
        <v>2</v>
      </c>
      <c r="E152">
        <v>-7.85</v>
      </c>
      <c r="F152" s="17">
        <v>-15.7</v>
      </c>
      <c r="G152" cm="1">
        <f t="array" ref="G152">SUMPRODUCT(IF($E152=$O$2,$D152*$P$2,IF($E152=$O$3,$D152*$P$3,IF($E152=$O$4,$D152*$P$4,IF($E152=$O$5,$D152*$P$5,IF($E152=$O$6,$D152*$P$6, IF($E152=$O$7,$D152*$P$7,IF($E152=$O$8,$D152*$P$8,IF($E152=$O$9,$D152*$P$9,IF($E152=$O$10,$D152*$P$10,IF($E152=$O$11,$D152*$P$11,IF($E152=$O$12,$D152*$P$12,IF($E152=$O$13,$D152*$P$13,IF($E152=$O$14,$D152*$P$14,IF($E152=$O$15,$D152*$P$15,IF($E152=$O$16,$D152*$P$16,IF($E152=$O$17,$D152*$P$17,IF($E152=$O$18,$D152*$P$18,IF($E152=$O$19,$D152*$P$19,IF($E152=$O$20,$D152*$P$20,IF($E152=$O$21,$D152*$P$21,IF($E152=$O$22,$D152*$P$22,IF($E152=$O$23,$D152*$P$23,IF($E152=$O$24,$D152*$P$24,IF($E152=$O$25,$D152*$P$25,IF($E152=$O$26,$D152*$P$26,IF($E152=$O$27,$D152*$P$27,IF($E152=$O$28,$D152*$P$28,IF($E152=$O$29,$D152*$P$29,IF($E152=$O$30,$D152*$P$30,IF($E152=$O$31,$D152*$P$31,IF($E152=$O$32,$D152*$P$32,IF($E152=$O$33,$D152*$P$33,IF($E152=$O$34,$D152*$P$34,IF($E152=$O$35,$D152*$P$35,n/a)))))))))))))))))))))))))))))))))))</f>
        <v>-2</v>
      </c>
      <c r="H152" s="6">
        <f t="shared" si="7"/>
        <v>-20</v>
      </c>
    </row>
    <row r="153" spans="1:8" x14ac:dyDescent="0.25">
      <c r="A153">
        <v>1020</v>
      </c>
      <c r="B153" t="s">
        <v>125</v>
      </c>
      <c r="C153" t="s">
        <v>197</v>
      </c>
      <c r="D153">
        <v>2</v>
      </c>
      <c r="E153">
        <v>7.85</v>
      </c>
      <c r="F153" s="17">
        <v>15.7</v>
      </c>
      <c r="G153" cm="1">
        <f t="array" ref="G153">SUMPRODUCT(IF($E153=$O$2,$D153*$P$2,IF($E153=$O$3,$D153*$P$3,IF($E153=$O$4,$D153*$P$4,IF($E153=$O$5,$D153*$P$5,IF($E153=$O$6,$D153*$P$6, IF($E153=$O$7,$D153*$P$7,IF($E153=$O$8,$D153*$P$8,IF($E153=$O$9,$D153*$P$9,IF($E153=$O$10,$D153*$P$10,IF($E153=$O$11,$D153*$P$11,IF($E153=$O$12,$D153*$P$12,IF($E153=$O$13,$D153*$P$13,IF($E153=$O$14,$D153*$P$14,IF($E153=$O$15,$D153*$P$15,IF($E153=$O$16,$D153*$P$16,IF($E153=$O$17,$D153*$P$17,IF($E153=$O$18,$D153*$P$18,IF($E153=$O$19,$D153*$P$19,IF($E153=$O$20,$D153*$P$20,IF($E153=$O$21,$D153*$P$21,IF($E153=$O$22,$D153*$P$22,IF($E153=$O$23,$D153*$P$23,IF($E153=$O$24,$D153*$P$24,IF($E153=$O$25,$D153*$P$25,IF($E153=$O$26,$D153*$P$26,IF($E153=$O$27,$D153*$P$27,IF($E153=$O$28,$D153*$P$28,IF($E153=$O$29,$D153*$P$29,IF($E153=$O$30,$D153*$P$30,IF($E153=$O$31,$D153*$P$31,IF($E153=$O$32,$D153*$P$32,IF($E153=$O$33,$D153*$P$33,IF($E153=$O$34,$D153*$P$34,IF($E153=$O$35,$D153*$P$35,n/a)))))))))))))))))))))))))))))))))))</f>
        <v>2</v>
      </c>
      <c r="H153" s="6">
        <f t="shared" si="7"/>
        <v>0</v>
      </c>
    </row>
    <row r="154" spans="1:8" x14ac:dyDescent="0.25">
      <c r="A154">
        <v>1020</v>
      </c>
      <c r="B154" t="s">
        <v>187</v>
      </c>
      <c r="C154" t="s">
        <v>197</v>
      </c>
      <c r="D154">
        <v>1</v>
      </c>
      <c r="E154">
        <v>4.8499999999999996</v>
      </c>
      <c r="F154" s="17">
        <v>4.8499999999999996</v>
      </c>
      <c r="G154" cm="1">
        <f t="array" ref="G154">SUMPRODUCT(IF($E154=$O$2,$D154*$P$2,IF($E154=$O$3,$D154*$P$3,IF($E154=$O$4,$D154*$P$4,IF($E154=$O$5,$D154*$P$5,IF($E154=$O$6,$D154*$P$6, IF($E154=$O$7,$D154*$P$7,IF($E154=$O$8,$D154*$P$8,IF($E154=$O$9,$D154*$P$9,IF($E154=$O$10,$D154*$P$10,IF($E154=$O$11,$D154*$P$11,IF($E154=$O$12,$D154*$P$12,IF($E154=$O$13,$D154*$P$13,IF($E154=$O$14,$D154*$P$14,IF($E154=$O$15,$D154*$P$15,IF($E154=$O$16,$D154*$P$16,IF($E154=$O$17,$D154*$P$17,IF($E154=$O$18,$D154*$P$18,IF($E154=$O$19,$D154*$P$19,IF($E154=$O$20,$D154*$P$20,IF($E154=$O$21,$D154*$P$21,IF($E154=$O$22,$D154*$P$22,IF($E154=$O$23,$D154*$P$23,IF($E154=$O$24,$D154*$P$24,IF($E154=$O$25,$D154*$P$25,IF($E154=$O$26,$D154*$P$26,IF($E154=$O$27,$D154*$P$27,IF($E154=$O$28,$D154*$P$28,IF($E154=$O$29,$D154*$P$29,IF($E154=$O$30,$D154*$P$30,IF($E154=$O$31,$D154*$P$31,IF($E154=$O$32,$D154*$P$32,IF($E154=$O$33,$D154*$P$33,IF($E154=$O$34,$D154*$P$34,IF($E154=$O$35,$D154*$P$35,n/a)))))))))))))))))))))))))))))))))))</f>
        <v>1</v>
      </c>
      <c r="H154" s="6">
        <f t="shared" si="7"/>
        <v>0</v>
      </c>
    </row>
    <row r="155" spans="1:8" x14ac:dyDescent="0.25">
      <c r="A155">
        <v>1020</v>
      </c>
      <c r="B155" t="s">
        <v>127</v>
      </c>
      <c r="C155" t="s">
        <v>197</v>
      </c>
      <c r="D155">
        <v>27</v>
      </c>
      <c r="E155">
        <v>7.85</v>
      </c>
      <c r="F155" s="17">
        <v>211.95</v>
      </c>
      <c r="G155" cm="1">
        <f t="array" ref="G155">SUMPRODUCT(IF($E155=$O$2,$D155*$P$2,IF($E155=$O$3,$D155*$P$3,IF($E155=$O$4,$D155*$P$4,IF($E155=$O$5,$D155*$P$5,IF($E155=$O$6,$D155*$P$6, IF($E155=$O$7,$D155*$P$7,IF($E155=$O$8,$D155*$P$8,IF($E155=$O$9,$D155*$P$9,IF($E155=$O$10,$D155*$P$10,IF($E155=$O$11,$D155*$P$11,IF($E155=$O$12,$D155*$P$12,IF($E155=$O$13,$D155*$P$13,IF($E155=$O$14,$D155*$P$14,IF($E155=$O$15,$D155*$P$15,IF($E155=$O$16,$D155*$P$16,IF($E155=$O$17,$D155*$P$17,IF($E155=$O$18,$D155*$P$18,IF($E155=$O$19,$D155*$P$19,IF($E155=$O$20,$D155*$P$20,IF($E155=$O$21,$D155*$P$21,IF($E155=$O$22,$D155*$P$22,IF($E155=$O$23,$D155*$P$23,IF($E155=$O$24,$D155*$P$24,IF($E155=$O$25,$D155*$P$25,IF($E155=$O$26,$D155*$P$26,IF($E155=$O$27,$D155*$P$27,IF($E155=$O$28,$D155*$P$28,IF($E155=$O$29,$D155*$P$29,IF($E155=$O$30,$D155*$P$30,IF($E155=$O$31,$D155*$P$31,IF($E155=$O$32,$D155*$P$32,IF($E155=$O$33,$D155*$P$33,IF($E155=$O$34,$D155*$P$34,IF($E155=$O$35,$D155*$P$35,n/a)))))))))))))))))))))))))))))))))))</f>
        <v>27</v>
      </c>
      <c r="H155" s="6">
        <f t="shared" ref="H155:H165" si="8">IF($E155&lt;0,$G155*10,0)</f>
        <v>0</v>
      </c>
    </row>
    <row r="156" spans="1:8" x14ac:dyDescent="0.25">
      <c r="A156">
        <v>1020</v>
      </c>
      <c r="B156" t="s">
        <v>129</v>
      </c>
      <c r="C156" t="s">
        <v>197</v>
      </c>
      <c r="D156">
        <v>73</v>
      </c>
      <c r="E156">
        <v>7.85</v>
      </c>
      <c r="F156" s="17">
        <v>573.04999999999995</v>
      </c>
      <c r="G156" cm="1">
        <f t="array" ref="G156">SUMPRODUCT(IF($E156=$O$2,$D156*$P$2,IF($E156=$O$3,$D156*$P$3,IF($E156=$O$4,$D156*$P$4,IF($E156=$O$5,$D156*$P$5,IF($E156=$O$6,$D156*$P$6, IF($E156=$O$7,$D156*$P$7,IF($E156=$O$8,$D156*$P$8,IF($E156=$O$9,$D156*$P$9,IF($E156=$O$10,$D156*$P$10,IF($E156=$O$11,$D156*$P$11,IF($E156=$O$12,$D156*$P$12,IF($E156=$O$13,$D156*$P$13,IF($E156=$O$14,$D156*$P$14,IF($E156=$O$15,$D156*$P$15,IF($E156=$O$16,$D156*$P$16,IF($E156=$O$17,$D156*$P$17,IF($E156=$O$18,$D156*$P$18,IF($E156=$O$19,$D156*$P$19,IF($E156=$O$20,$D156*$P$20,IF($E156=$O$21,$D156*$P$21,IF($E156=$O$22,$D156*$P$22,IF($E156=$O$23,$D156*$P$23,IF($E156=$O$24,$D156*$P$24,IF($E156=$O$25,$D156*$P$25,IF($E156=$O$26,$D156*$P$26,IF($E156=$O$27,$D156*$P$27,IF($E156=$O$28,$D156*$P$28,IF($E156=$O$29,$D156*$P$29,IF($E156=$O$30,$D156*$P$30,IF($E156=$O$31,$D156*$P$31,IF($E156=$O$32,$D156*$P$32,IF($E156=$O$33,$D156*$P$33,IF($E156=$O$34,$D156*$P$34,IF($E156=$O$35,$D156*$P$35,n/a)))))))))))))))))))))))))))))))))))</f>
        <v>73</v>
      </c>
      <c r="H156" s="6">
        <f t="shared" si="8"/>
        <v>0</v>
      </c>
    </row>
    <row r="157" spans="1:8" x14ac:dyDescent="0.25">
      <c r="A157">
        <v>1020</v>
      </c>
      <c r="B157" t="s">
        <v>129</v>
      </c>
      <c r="C157" t="s">
        <v>197</v>
      </c>
      <c r="D157">
        <v>1</v>
      </c>
      <c r="E157">
        <v>15.7</v>
      </c>
      <c r="F157" s="17">
        <v>15.7</v>
      </c>
      <c r="G157" cm="1">
        <f t="array" ref="G157">SUMPRODUCT(IF($E157=$O$2,$D157*$P$2,IF($E157=$O$3,$D157*$P$3,IF($E157=$O$4,$D157*$P$4,IF($E157=$O$5,$D157*$P$5,IF($E157=$O$6,$D157*$P$6, IF($E157=$O$7,$D157*$P$7,IF($E157=$O$8,$D157*$P$8,IF($E157=$O$9,$D157*$P$9,IF($E157=$O$10,$D157*$P$10,IF($E157=$O$11,$D157*$P$11,IF($E157=$O$12,$D157*$P$12,IF($E157=$O$13,$D157*$P$13,IF($E157=$O$14,$D157*$P$14,IF($E157=$O$15,$D157*$P$15,IF($E157=$O$16,$D157*$P$16,IF($E157=$O$17,$D157*$P$17,IF($E157=$O$18,$D157*$P$18,IF($E157=$O$19,$D157*$P$19,IF($E157=$O$20,$D157*$P$20,IF($E157=$O$21,$D157*$P$21,IF($E157=$O$22,$D157*$P$22,IF($E157=$O$23,$D157*$P$23,IF($E157=$O$24,$D157*$P$24,IF($E157=$O$25,$D157*$P$25,IF($E157=$O$26,$D157*$P$26,IF($E157=$O$27,$D157*$P$27,IF($E157=$O$28,$D157*$P$28,IF($E157=$O$29,$D157*$P$29,IF($E157=$O$30,$D157*$P$30,IF($E157=$O$31,$D157*$P$31,IF($E157=$O$32,$D157*$P$32,IF($E157=$O$33,$D157*$P$33,IF($E157=$O$34,$D157*$P$34,IF($E157=$O$35,$D157*$P$35,n/a)))))))))))))))))))))))))))))))))))</f>
        <v>2</v>
      </c>
      <c r="H157" s="6">
        <f t="shared" si="8"/>
        <v>0</v>
      </c>
    </row>
    <row r="158" spans="1:8" x14ac:dyDescent="0.25">
      <c r="A158">
        <v>1020</v>
      </c>
      <c r="B158" t="s">
        <v>129</v>
      </c>
      <c r="C158" t="s">
        <v>197</v>
      </c>
      <c r="D158">
        <v>1</v>
      </c>
      <c r="E158">
        <v>-7.85</v>
      </c>
      <c r="F158" s="17">
        <v>-7.85</v>
      </c>
      <c r="G158" cm="1">
        <f t="array" ref="G158">SUMPRODUCT(IF($E158=$O$2,$D158*$P$2,IF($E158=$O$3,$D158*$P$3,IF($E158=$O$4,$D158*$P$4,IF($E158=$O$5,$D158*$P$5,IF($E158=$O$6,$D158*$P$6, IF($E158=$O$7,$D158*$P$7,IF($E158=$O$8,$D158*$P$8,IF($E158=$O$9,$D158*$P$9,IF($E158=$O$10,$D158*$P$10,IF($E158=$O$11,$D158*$P$11,IF($E158=$O$12,$D158*$P$12,IF($E158=$O$13,$D158*$P$13,IF($E158=$O$14,$D158*$P$14,IF($E158=$O$15,$D158*$P$15,IF($E158=$O$16,$D158*$P$16,IF($E158=$O$17,$D158*$P$17,IF($E158=$O$18,$D158*$P$18,IF($E158=$O$19,$D158*$P$19,IF($E158=$O$20,$D158*$P$20,IF($E158=$O$21,$D158*$P$21,IF($E158=$O$22,$D158*$P$22,IF($E158=$O$23,$D158*$P$23,IF($E158=$O$24,$D158*$P$24,IF($E158=$O$25,$D158*$P$25,IF($E158=$O$26,$D158*$P$26,IF($E158=$O$27,$D158*$P$27,IF($E158=$O$28,$D158*$P$28,IF($E158=$O$29,$D158*$P$29,IF($E158=$O$30,$D158*$P$30,IF($E158=$O$31,$D158*$P$31,IF($E158=$O$32,$D158*$P$32,IF($E158=$O$33,$D158*$P$33,IF($E158=$O$34,$D158*$P$34,IF($E158=$O$35,$D158*$P$35,n/a)))))))))))))))))))))))))))))))))))</f>
        <v>-1</v>
      </c>
      <c r="H158" s="6">
        <f t="shared" si="8"/>
        <v>-10</v>
      </c>
    </row>
    <row r="159" spans="1:8" x14ac:dyDescent="0.25">
      <c r="A159">
        <v>1020</v>
      </c>
      <c r="B159" t="s">
        <v>131</v>
      </c>
      <c r="C159" t="s">
        <v>197</v>
      </c>
      <c r="D159">
        <v>390</v>
      </c>
      <c r="E159">
        <v>7.85</v>
      </c>
      <c r="F159" s="17">
        <v>3061.5</v>
      </c>
      <c r="G159" cm="1">
        <f t="array" ref="G159">SUMPRODUCT(IF($E159=$O$2,$D159*$P$2,IF($E159=$O$3,$D159*$P$3,IF($E159=$O$4,$D159*$P$4,IF($E159=$O$5,$D159*$P$5,IF($E159=$O$6,$D159*$P$6, IF($E159=$O$7,$D159*$P$7,IF($E159=$O$8,$D159*$P$8,IF($E159=$O$9,$D159*$P$9,IF($E159=$O$10,$D159*$P$10,IF($E159=$O$11,$D159*$P$11,IF($E159=$O$12,$D159*$P$12,IF($E159=$O$13,$D159*$P$13,IF($E159=$O$14,$D159*$P$14,IF($E159=$O$15,$D159*$P$15,IF($E159=$O$16,$D159*$P$16,IF($E159=$O$17,$D159*$P$17,IF($E159=$O$18,$D159*$P$18,IF($E159=$O$19,$D159*$P$19,IF($E159=$O$20,$D159*$P$20,IF($E159=$O$21,$D159*$P$21,IF($E159=$O$22,$D159*$P$22,IF($E159=$O$23,$D159*$P$23,IF($E159=$O$24,$D159*$P$24,IF($E159=$O$25,$D159*$P$25,IF($E159=$O$26,$D159*$P$26,IF($E159=$O$27,$D159*$P$27,IF($E159=$O$28,$D159*$P$28,IF($E159=$O$29,$D159*$P$29,IF($E159=$O$30,$D159*$P$30,IF($E159=$O$31,$D159*$P$31,IF($E159=$O$32,$D159*$P$32,IF($E159=$O$33,$D159*$P$33,IF($E159=$O$34,$D159*$P$34,IF($E159=$O$35,$D159*$P$35,n/a)))))))))))))))))))))))))))))))))))</f>
        <v>390</v>
      </c>
      <c r="H159" s="6">
        <f t="shared" si="8"/>
        <v>0</v>
      </c>
    </row>
    <row r="160" spans="1:8" x14ac:dyDescent="0.25">
      <c r="A160">
        <v>1020</v>
      </c>
      <c r="B160" t="s">
        <v>131</v>
      </c>
      <c r="C160" t="s">
        <v>197</v>
      </c>
      <c r="D160">
        <v>2</v>
      </c>
      <c r="E160">
        <v>-7.85</v>
      </c>
      <c r="F160" s="17">
        <v>-15.7</v>
      </c>
      <c r="G160" cm="1">
        <f t="array" ref="G160">SUMPRODUCT(IF($E160=$O$2,$D160*$P$2,IF($E160=$O$3,$D160*$P$3,IF($E160=$O$4,$D160*$P$4,IF($E160=$O$5,$D160*$P$5,IF($E160=$O$6,$D160*$P$6, IF($E160=$O$7,$D160*$P$7,IF($E160=$O$8,$D160*$P$8,IF($E160=$O$9,$D160*$P$9,IF($E160=$O$10,$D160*$P$10,IF($E160=$O$11,$D160*$P$11,IF($E160=$O$12,$D160*$P$12,IF($E160=$O$13,$D160*$P$13,IF($E160=$O$14,$D160*$P$14,IF($E160=$O$15,$D160*$P$15,IF($E160=$O$16,$D160*$P$16,IF($E160=$O$17,$D160*$P$17,IF($E160=$O$18,$D160*$P$18,IF($E160=$O$19,$D160*$P$19,IF($E160=$O$20,$D160*$P$20,IF($E160=$O$21,$D160*$P$21,IF($E160=$O$22,$D160*$P$22,IF($E160=$O$23,$D160*$P$23,IF($E160=$O$24,$D160*$P$24,IF($E160=$O$25,$D160*$P$25,IF($E160=$O$26,$D160*$P$26,IF($E160=$O$27,$D160*$P$27,IF($E160=$O$28,$D160*$P$28,IF($E160=$O$29,$D160*$P$29,IF($E160=$O$30,$D160*$P$30,IF($E160=$O$31,$D160*$P$31,IF($E160=$O$32,$D160*$P$32,IF($E160=$O$33,$D160*$P$33,IF($E160=$O$34,$D160*$P$34,IF($E160=$O$35,$D160*$P$35,n/a)))))))))))))))))))))))))))))))))))</f>
        <v>-2</v>
      </c>
      <c r="H160" s="6">
        <f t="shared" si="8"/>
        <v>-20</v>
      </c>
    </row>
    <row r="161" spans="1:8" x14ac:dyDescent="0.25">
      <c r="A161">
        <v>1020</v>
      </c>
      <c r="B161" t="s">
        <v>133</v>
      </c>
      <c r="C161" t="s">
        <v>197</v>
      </c>
      <c r="D161">
        <v>507</v>
      </c>
      <c r="E161">
        <v>7.85</v>
      </c>
      <c r="F161" s="17">
        <v>3979.95</v>
      </c>
      <c r="G161" cm="1">
        <f t="array" ref="G161">SUMPRODUCT(IF($E161=$O$2,$D161*$P$2,IF($E161=$O$3,$D161*$P$3,IF($E161=$O$4,$D161*$P$4,IF($E161=$O$5,$D161*$P$5,IF($E161=$O$6,$D161*$P$6, IF($E161=$O$7,$D161*$P$7,IF($E161=$O$8,$D161*$P$8,IF($E161=$O$9,$D161*$P$9,IF($E161=$O$10,$D161*$P$10,IF($E161=$O$11,$D161*$P$11,IF($E161=$O$12,$D161*$P$12,IF($E161=$O$13,$D161*$P$13,IF($E161=$O$14,$D161*$P$14,IF($E161=$O$15,$D161*$P$15,IF($E161=$O$16,$D161*$P$16,IF($E161=$O$17,$D161*$P$17,IF($E161=$O$18,$D161*$P$18,IF($E161=$O$19,$D161*$P$19,IF($E161=$O$20,$D161*$P$20,IF($E161=$O$21,$D161*$P$21,IF($E161=$O$22,$D161*$P$22,IF($E161=$O$23,$D161*$P$23,IF($E161=$O$24,$D161*$P$24,IF($E161=$O$25,$D161*$P$25,IF($E161=$O$26,$D161*$P$26,IF($E161=$O$27,$D161*$P$27,IF($E161=$O$28,$D161*$P$28,IF($E161=$O$29,$D161*$P$29,IF($E161=$O$30,$D161*$P$30,IF($E161=$O$31,$D161*$P$31,IF($E161=$O$32,$D161*$P$32,IF($E161=$O$33,$D161*$P$33,IF($E161=$O$34,$D161*$P$34,IF($E161=$O$35,$D161*$P$35,n/a)))))))))))))))))))))))))))))))))))</f>
        <v>507</v>
      </c>
      <c r="H161" s="6">
        <f t="shared" si="8"/>
        <v>0</v>
      </c>
    </row>
    <row r="162" spans="1:8" x14ac:dyDescent="0.25">
      <c r="A162">
        <v>1020</v>
      </c>
      <c r="B162" t="s">
        <v>133</v>
      </c>
      <c r="C162" t="s">
        <v>197</v>
      </c>
      <c r="D162">
        <v>1</v>
      </c>
      <c r="E162">
        <v>-7.85</v>
      </c>
      <c r="F162" s="17">
        <v>-7.85</v>
      </c>
      <c r="G162" cm="1">
        <f t="array" ref="G162">SUMPRODUCT(IF($E162=$O$2,$D162*$P$2,IF($E162=$O$3,$D162*$P$3,IF($E162=$O$4,$D162*$P$4,IF($E162=$O$5,$D162*$P$5,IF($E162=$O$6,$D162*$P$6, IF($E162=$O$7,$D162*$P$7,IF($E162=$O$8,$D162*$P$8,IF($E162=$O$9,$D162*$P$9,IF($E162=$O$10,$D162*$P$10,IF($E162=$O$11,$D162*$P$11,IF($E162=$O$12,$D162*$P$12,IF($E162=$O$13,$D162*$P$13,IF($E162=$O$14,$D162*$P$14,IF($E162=$O$15,$D162*$P$15,IF($E162=$O$16,$D162*$P$16,IF($E162=$O$17,$D162*$P$17,IF($E162=$O$18,$D162*$P$18,IF($E162=$O$19,$D162*$P$19,IF($E162=$O$20,$D162*$P$20,IF($E162=$O$21,$D162*$P$21,IF($E162=$O$22,$D162*$P$22,IF($E162=$O$23,$D162*$P$23,IF($E162=$O$24,$D162*$P$24,IF($E162=$O$25,$D162*$P$25,IF($E162=$O$26,$D162*$P$26,IF($E162=$O$27,$D162*$P$27,IF($E162=$O$28,$D162*$P$28,IF($E162=$O$29,$D162*$P$29,IF($E162=$O$30,$D162*$P$30,IF($E162=$O$31,$D162*$P$31,IF($E162=$O$32,$D162*$P$32,IF($E162=$O$33,$D162*$P$33,IF($E162=$O$34,$D162*$P$34,IF($E162=$O$35,$D162*$P$35,n/a)))))))))))))))))))))))))))))))))))</f>
        <v>-1</v>
      </c>
      <c r="H162" s="6">
        <f t="shared" si="8"/>
        <v>-10</v>
      </c>
    </row>
    <row r="163" spans="1:8" x14ac:dyDescent="0.25">
      <c r="B163" t="s">
        <v>205</v>
      </c>
      <c r="E163" t="s">
        <v>206</v>
      </c>
      <c r="F163" s="18">
        <v>109790.25</v>
      </c>
      <c r="H163" s="6">
        <f t="shared" si="8"/>
        <v>0</v>
      </c>
    </row>
    <row r="164" spans="1:8" x14ac:dyDescent="0.25">
      <c r="E164" t="s">
        <v>207</v>
      </c>
      <c r="F164" s="18">
        <v>0</v>
      </c>
      <c r="H164" s="6">
        <f t="shared" si="8"/>
        <v>0</v>
      </c>
    </row>
    <row r="165" spans="1:8" x14ac:dyDescent="0.25">
      <c r="E165" t="s">
        <v>208</v>
      </c>
      <c r="F165" s="18">
        <v>109790.25</v>
      </c>
      <c r="H165" s="6">
        <f t="shared" si="8"/>
        <v>0</v>
      </c>
    </row>
    <row r="166" spans="1:8" x14ac:dyDescent="0.25">
      <c r="H166" s="6"/>
    </row>
    <row r="167" spans="1:8" x14ac:dyDescent="0.25">
      <c r="H167" s="6"/>
    </row>
    <row r="168" spans="1:8" x14ac:dyDescent="0.25">
      <c r="H168" s="6"/>
    </row>
    <row r="169" spans="1:8" x14ac:dyDescent="0.25">
      <c r="H169" s="6"/>
    </row>
    <row r="170" spans="1:8" x14ac:dyDescent="0.25">
      <c r="H170" s="6"/>
    </row>
    <row r="171" spans="1:8" x14ac:dyDescent="0.25">
      <c r="H171" s="6"/>
    </row>
    <row r="172" spans="1:8" x14ac:dyDescent="0.25">
      <c r="H172" s="6"/>
    </row>
    <row r="173" spans="1:8" x14ac:dyDescent="0.25">
      <c r="H173" s="6"/>
    </row>
    <row r="174" spans="1:8" x14ac:dyDescent="0.25">
      <c r="H174" s="6"/>
    </row>
    <row r="175" spans="1:8" x14ac:dyDescent="0.25">
      <c r="H175" s="6"/>
    </row>
    <row r="176" spans="1:8" x14ac:dyDescent="0.25">
      <c r="H176" s="6"/>
    </row>
    <row r="177" spans="2:8" x14ac:dyDescent="0.25">
      <c r="H177" s="6"/>
    </row>
    <row r="178" spans="2:8" x14ac:dyDescent="0.25">
      <c r="H178" s="6"/>
    </row>
    <row r="179" spans="2:8" x14ac:dyDescent="0.25">
      <c r="B179" t="s">
        <v>205</v>
      </c>
      <c r="H179" s="6">
        <f t="shared" ref="H179:H181" si="9">IF($E179&lt;0,$G179*10,0)</f>
        <v>0</v>
      </c>
    </row>
    <row r="180" spans="2:8" x14ac:dyDescent="0.25">
      <c r="H180" s="6">
        <f t="shared" si="9"/>
        <v>0</v>
      </c>
    </row>
    <row r="181" spans="2:8" x14ac:dyDescent="0.25">
      <c r="H181" s="6">
        <f t="shared" si="9"/>
        <v>0</v>
      </c>
    </row>
    <row r="182" spans="2:8" x14ac:dyDescent="0.25">
      <c r="H182" s="6"/>
    </row>
    <row r="183" spans="2:8" x14ac:dyDescent="0.25">
      <c r="H183" s="6"/>
    </row>
  </sheetData>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C330-FADC-483E-8247-1E2CA4E08A47}">
  <dimension ref="A1:E166"/>
  <sheetViews>
    <sheetView topLeftCell="A49" workbookViewId="0">
      <selection activeCell="A2" sqref="A2:A65"/>
    </sheetView>
  </sheetViews>
  <sheetFormatPr defaultRowHeight="15" x14ac:dyDescent="0.25"/>
  <cols>
    <col min="1" max="1" width="49.85546875" customWidth="1"/>
    <col min="4" max="4" width="64.140625" customWidth="1"/>
  </cols>
  <sheetData>
    <row r="1" spans="1:5" x14ac:dyDescent="0.25">
      <c r="A1" s="32" t="s">
        <v>0</v>
      </c>
      <c r="D1" t="s">
        <v>189</v>
      </c>
      <c r="E1" t="s">
        <v>161</v>
      </c>
    </row>
    <row r="2" spans="1:5" x14ac:dyDescent="0.25">
      <c r="A2" t="s">
        <v>7</v>
      </c>
      <c r="D2" t="s">
        <v>7</v>
      </c>
      <c r="E2">
        <v>7.85</v>
      </c>
    </row>
    <row r="3" spans="1:5" x14ac:dyDescent="0.25">
      <c r="A3" s="24" t="s">
        <v>9</v>
      </c>
      <c r="D3" s="30" t="s">
        <v>162</v>
      </c>
      <c r="E3">
        <v>6.8</v>
      </c>
    </row>
    <row r="4" spans="1:5" x14ac:dyDescent="0.25">
      <c r="A4" s="26" t="s">
        <v>11</v>
      </c>
      <c r="D4" s="30" t="s">
        <v>163</v>
      </c>
      <c r="E4">
        <v>7.8</v>
      </c>
    </row>
    <row r="5" spans="1:5" x14ac:dyDescent="0.25">
      <c r="A5" s="26" t="s">
        <v>13</v>
      </c>
      <c r="D5" s="30" t="s">
        <v>9</v>
      </c>
      <c r="E5">
        <v>7.85</v>
      </c>
    </row>
    <row r="6" spans="1:5" x14ac:dyDescent="0.25">
      <c r="A6" s="26" t="s">
        <v>15</v>
      </c>
      <c r="D6" s="30" t="s">
        <v>164</v>
      </c>
      <c r="E6">
        <v>12.8</v>
      </c>
    </row>
    <row r="7" spans="1:5" x14ac:dyDescent="0.25">
      <c r="A7" s="26" t="s">
        <v>17</v>
      </c>
      <c r="D7" s="30" t="s">
        <v>11</v>
      </c>
      <c r="E7">
        <v>7.85</v>
      </c>
    </row>
    <row r="8" spans="1:5" x14ac:dyDescent="0.25">
      <c r="A8" s="26" t="s">
        <v>19</v>
      </c>
      <c r="D8" s="29" t="s">
        <v>13</v>
      </c>
      <c r="E8">
        <v>7.85</v>
      </c>
    </row>
    <row r="9" spans="1:5" x14ac:dyDescent="0.25">
      <c r="A9" s="26" t="s">
        <v>21</v>
      </c>
      <c r="D9" s="29" t="s">
        <v>165</v>
      </c>
      <c r="E9">
        <v>6.8</v>
      </c>
    </row>
    <row r="10" spans="1:5" x14ac:dyDescent="0.25">
      <c r="A10" s="26" t="s">
        <v>23</v>
      </c>
      <c r="D10" s="29" t="s">
        <v>15</v>
      </c>
      <c r="E10">
        <v>7.85</v>
      </c>
    </row>
    <row r="11" spans="1:5" x14ac:dyDescent="0.25">
      <c r="A11" s="26" t="s">
        <v>25</v>
      </c>
      <c r="D11" s="29" t="s">
        <v>166</v>
      </c>
      <c r="E11">
        <v>12.8</v>
      </c>
    </row>
    <row r="12" spans="1:5" x14ac:dyDescent="0.25">
      <c r="A12" s="26" t="s">
        <v>27</v>
      </c>
      <c r="D12" s="29" t="s">
        <v>167</v>
      </c>
      <c r="E12">
        <v>14.65</v>
      </c>
    </row>
    <row r="13" spans="1:5" x14ac:dyDescent="0.25">
      <c r="A13" s="26" t="s">
        <v>29</v>
      </c>
      <c r="D13" s="30" t="s">
        <v>168</v>
      </c>
      <c r="E13">
        <v>20.65</v>
      </c>
    </row>
    <row r="14" spans="1:5" x14ac:dyDescent="0.25">
      <c r="A14" s="26" t="s">
        <v>31</v>
      </c>
      <c r="D14" s="30" t="s">
        <v>17</v>
      </c>
      <c r="E14">
        <v>7.85</v>
      </c>
    </row>
    <row r="15" spans="1:5" x14ac:dyDescent="0.25">
      <c r="A15" s="26" t="s">
        <v>33</v>
      </c>
      <c r="D15" s="29" t="s">
        <v>169</v>
      </c>
      <c r="E15">
        <v>5.95</v>
      </c>
    </row>
    <row r="16" spans="1:5" x14ac:dyDescent="0.25">
      <c r="A16" s="26" t="s">
        <v>35</v>
      </c>
      <c r="D16" s="30" t="s">
        <v>19</v>
      </c>
      <c r="E16">
        <v>7.85</v>
      </c>
    </row>
    <row r="17" spans="1:5" x14ac:dyDescent="0.25">
      <c r="A17" s="26" t="s">
        <v>37</v>
      </c>
      <c r="D17" s="30" t="s">
        <v>170</v>
      </c>
      <c r="E17">
        <v>9.9499999999999993</v>
      </c>
    </row>
    <row r="18" spans="1:5" x14ac:dyDescent="0.25">
      <c r="A18" s="26" t="s">
        <v>39</v>
      </c>
      <c r="D18" s="30" t="s">
        <v>171</v>
      </c>
      <c r="E18">
        <v>6.85</v>
      </c>
    </row>
    <row r="19" spans="1:5" x14ac:dyDescent="0.25">
      <c r="A19" s="26" t="s">
        <v>41</v>
      </c>
      <c r="D19" s="30" t="s">
        <v>21</v>
      </c>
      <c r="E19">
        <v>7.85</v>
      </c>
    </row>
    <row r="20" spans="1:5" x14ac:dyDescent="0.25">
      <c r="A20" s="26" t="s">
        <v>43</v>
      </c>
      <c r="D20" s="30" t="s">
        <v>172</v>
      </c>
      <c r="E20">
        <v>6.85</v>
      </c>
    </row>
    <row r="21" spans="1:5" x14ac:dyDescent="0.25">
      <c r="A21" s="26" t="s">
        <v>45</v>
      </c>
      <c r="D21" s="30" t="s">
        <v>23</v>
      </c>
      <c r="E21">
        <v>7.85</v>
      </c>
    </row>
    <row r="22" spans="1:5" x14ac:dyDescent="0.25">
      <c r="A22" s="26" t="s">
        <v>47</v>
      </c>
      <c r="D22" s="30" t="s">
        <v>173</v>
      </c>
      <c r="E22">
        <v>6.8</v>
      </c>
    </row>
    <row r="23" spans="1:5" x14ac:dyDescent="0.25">
      <c r="A23" s="26" t="s">
        <v>49</v>
      </c>
      <c r="D23" s="30" t="s">
        <v>25</v>
      </c>
      <c r="E23">
        <v>7.8</v>
      </c>
    </row>
    <row r="24" spans="1:5" x14ac:dyDescent="0.25">
      <c r="A24" s="26" t="s">
        <v>51</v>
      </c>
      <c r="D24" s="30" t="s">
        <v>174</v>
      </c>
      <c r="E24">
        <v>12.8</v>
      </c>
    </row>
    <row r="25" spans="1:5" x14ac:dyDescent="0.25">
      <c r="A25" s="26" t="s">
        <v>53</v>
      </c>
      <c r="D25" s="30" t="s">
        <v>27</v>
      </c>
      <c r="E25">
        <v>7.85</v>
      </c>
    </row>
    <row r="26" spans="1:5" x14ac:dyDescent="0.25">
      <c r="A26" s="26" t="s">
        <v>55</v>
      </c>
      <c r="D26" s="30" t="s">
        <v>29</v>
      </c>
      <c r="E26">
        <v>7.85</v>
      </c>
    </row>
    <row r="27" spans="1:5" x14ac:dyDescent="0.25">
      <c r="A27" s="26" t="s">
        <v>57</v>
      </c>
      <c r="D27" s="30" t="s">
        <v>31</v>
      </c>
      <c r="E27">
        <v>7.85</v>
      </c>
    </row>
    <row r="28" spans="1:5" x14ac:dyDescent="0.25">
      <c r="A28" s="26" t="s">
        <v>59</v>
      </c>
      <c r="D28" s="30" t="s">
        <v>33</v>
      </c>
      <c r="E28">
        <v>7.85</v>
      </c>
    </row>
    <row r="29" spans="1:5" x14ac:dyDescent="0.25">
      <c r="A29" s="26" t="s">
        <v>61</v>
      </c>
      <c r="D29" s="30" t="s">
        <v>35</v>
      </c>
      <c r="E29">
        <v>7.85</v>
      </c>
    </row>
    <row r="30" spans="1:5" x14ac:dyDescent="0.25">
      <c r="A30" s="26" t="s">
        <v>63</v>
      </c>
      <c r="D30" s="30" t="s">
        <v>175</v>
      </c>
      <c r="E30">
        <v>5.85</v>
      </c>
    </row>
    <row r="31" spans="1:5" x14ac:dyDescent="0.25">
      <c r="A31" s="26" t="s">
        <v>65</v>
      </c>
      <c r="D31" s="30" t="s">
        <v>37</v>
      </c>
      <c r="E31">
        <v>7.85</v>
      </c>
    </row>
    <row r="32" spans="1:5" x14ac:dyDescent="0.25">
      <c r="A32" s="26" t="s">
        <v>67</v>
      </c>
      <c r="D32" s="30" t="s">
        <v>39</v>
      </c>
      <c r="E32">
        <v>7.85</v>
      </c>
    </row>
    <row r="33" spans="1:5" x14ac:dyDescent="0.25">
      <c r="A33" s="26" t="s">
        <v>69</v>
      </c>
      <c r="D33" s="30" t="s">
        <v>176</v>
      </c>
      <c r="E33">
        <v>5.85</v>
      </c>
    </row>
    <row r="34" spans="1:5" x14ac:dyDescent="0.25">
      <c r="A34" s="26" t="s">
        <v>71</v>
      </c>
      <c r="D34" s="30" t="s">
        <v>41</v>
      </c>
      <c r="E34">
        <v>7.85</v>
      </c>
    </row>
    <row r="35" spans="1:5" x14ac:dyDescent="0.25">
      <c r="A35" s="26" t="s">
        <v>73</v>
      </c>
      <c r="D35" s="30" t="s">
        <v>177</v>
      </c>
      <c r="E35">
        <v>4.8499999999999996</v>
      </c>
    </row>
    <row r="36" spans="1:5" x14ac:dyDescent="0.25">
      <c r="A36" s="26" t="s">
        <v>75</v>
      </c>
      <c r="D36" s="30" t="s">
        <v>43</v>
      </c>
      <c r="E36">
        <v>7.85</v>
      </c>
    </row>
    <row r="37" spans="1:5" x14ac:dyDescent="0.25">
      <c r="A37" s="26" t="s">
        <v>77</v>
      </c>
      <c r="D37" s="30" t="s">
        <v>45</v>
      </c>
      <c r="E37">
        <v>7.85</v>
      </c>
    </row>
    <row r="38" spans="1:5" x14ac:dyDescent="0.25">
      <c r="A38" s="26" t="s">
        <v>79</v>
      </c>
      <c r="D38" s="30" t="s">
        <v>47</v>
      </c>
      <c r="E38">
        <v>7.85</v>
      </c>
    </row>
    <row r="39" spans="1:5" x14ac:dyDescent="0.25">
      <c r="A39" s="26" t="s">
        <v>81</v>
      </c>
      <c r="D39" s="30" t="s">
        <v>49</v>
      </c>
      <c r="E39">
        <v>7.85</v>
      </c>
    </row>
    <row r="40" spans="1:5" x14ac:dyDescent="0.25">
      <c r="A40" s="26" t="s">
        <v>83</v>
      </c>
      <c r="D40" s="30" t="s">
        <v>51</v>
      </c>
      <c r="E40">
        <v>7.85</v>
      </c>
    </row>
    <row r="41" spans="1:5" x14ac:dyDescent="0.25">
      <c r="A41" s="26" t="s">
        <v>85</v>
      </c>
      <c r="D41" s="30" t="s">
        <v>53</v>
      </c>
      <c r="E41">
        <v>7.85</v>
      </c>
    </row>
    <row r="42" spans="1:5" x14ac:dyDescent="0.25">
      <c r="A42" s="26" t="s">
        <v>87</v>
      </c>
      <c r="D42" s="30" t="s">
        <v>55</v>
      </c>
      <c r="E42">
        <v>7.85</v>
      </c>
    </row>
    <row r="43" spans="1:5" x14ac:dyDescent="0.25">
      <c r="A43" s="26" t="s">
        <v>89</v>
      </c>
      <c r="D43" s="30" t="s">
        <v>57</v>
      </c>
      <c r="E43">
        <v>7.85</v>
      </c>
    </row>
    <row r="44" spans="1:5" x14ac:dyDescent="0.25">
      <c r="A44" s="26" t="s">
        <v>91</v>
      </c>
      <c r="D44" s="30" t="s">
        <v>178</v>
      </c>
      <c r="E44">
        <v>5.85</v>
      </c>
    </row>
    <row r="45" spans="1:5" x14ac:dyDescent="0.25">
      <c r="A45" s="26" t="s">
        <v>93</v>
      </c>
      <c r="D45" s="30" t="s">
        <v>59</v>
      </c>
      <c r="E45">
        <v>7.85</v>
      </c>
    </row>
    <row r="46" spans="1:5" x14ac:dyDescent="0.25">
      <c r="A46" s="26" t="s">
        <v>95</v>
      </c>
      <c r="D46" s="30" t="s">
        <v>61</v>
      </c>
      <c r="E46">
        <v>7.85</v>
      </c>
    </row>
    <row r="47" spans="1:5" x14ac:dyDescent="0.25">
      <c r="A47" s="26" t="s">
        <v>97</v>
      </c>
      <c r="D47" s="30" t="s">
        <v>179</v>
      </c>
      <c r="E47">
        <v>6.8</v>
      </c>
    </row>
    <row r="48" spans="1:5" x14ac:dyDescent="0.25">
      <c r="A48" s="26" t="s">
        <v>99</v>
      </c>
      <c r="D48" s="30" t="s">
        <v>63</v>
      </c>
      <c r="E48">
        <v>7.85</v>
      </c>
    </row>
    <row r="49" spans="1:5" x14ac:dyDescent="0.25">
      <c r="A49" s="26" t="s">
        <v>101</v>
      </c>
      <c r="D49" s="30" t="s">
        <v>65</v>
      </c>
      <c r="E49">
        <v>7.85</v>
      </c>
    </row>
    <row r="50" spans="1:5" x14ac:dyDescent="0.25">
      <c r="A50" s="26" t="s">
        <v>103</v>
      </c>
      <c r="D50" s="30" t="s">
        <v>67</v>
      </c>
      <c r="E50">
        <v>7.85</v>
      </c>
    </row>
    <row r="51" spans="1:5" x14ac:dyDescent="0.25">
      <c r="A51" s="26" t="s">
        <v>105</v>
      </c>
      <c r="D51" s="30" t="s">
        <v>69</v>
      </c>
      <c r="E51">
        <v>7.85</v>
      </c>
    </row>
    <row r="52" spans="1:5" x14ac:dyDescent="0.25">
      <c r="A52" s="26" t="s">
        <v>107</v>
      </c>
      <c r="D52" s="30" t="s">
        <v>71</v>
      </c>
      <c r="E52">
        <v>7.85</v>
      </c>
    </row>
    <row r="53" spans="1:5" x14ac:dyDescent="0.25">
      <c r="A53" s="26" t="s">
        <v>109</v>
      </c>
      <c r="D53" s="30" t="s">
        <v>73</v>
      </c>
      <c r="E53">
        <v>7.85</v>
      </c>
    </row>
    <row r="54" spans="1:5" x14ac:dyDescent="0.25">
      <c r="A54" s="26" t="s">
        <v>111</v>
      </c>
      <c r="D54" s="30" t="s">
        <v>75</v>
      </c>
      <c r="E54">
        <v>7.85</v>
      </c>
    </row>
    <row r="55" spans="1:5" x14ac:dyDescent="0.25">
      <c r="A55" s="26" t="s">
        <v>113</v>
      </c>
      <c r="D55" s="30" t="s">
        <v>77</v>
      </c>
      <c r="E55">
        <v>7.85</v>
      </c>
    </row>
    <row r="56" spans="1:5" x14ac:dyDescent="0.25">
      <c r="A56" t="s">
        <v>115</v>
      </c>
      <c r="D56" s="30" t="s">
        <v>79</v>
      </c>
      <c r="E56">
        <v>7.85</v>
      </c>
    </row>
    <row r="57" spans="1:5" x14ac:dyDescent="0.25">
      <c r="A57" t="s">
        <v>117</v>
      </c>
      <c r="D57" s="30" t="s">
        <v>81</v>
      </c>
      <c r="E57">
        <v>7.85</v>
      </c>
    </row>
    <row r="58" spans="1:5" x14ac:dyDescent="0.25">
      <c r="A58" t="s">
        <v>119</v>
      </c>
      <c r="D58" s="30" t="s">
        <v>180</v>
      </c>
      <c r="E58">
        <v>6.8</v>
      </c>
    </row>
    <row r="59" spans="1:5" x14ac:dyDescent="0.25">
      <c r="A59" t="s">
        <v>121</v>
      </c>
      <c r="D59" s="30" t="s">
        <v>83</v>
      </c>
      <c r="E59">
        <v>7.85</v>
      </c>
    </row>
    <row r="60" spans="1:5" x14ac:dyDescent="0.25">
      <c r="A60" t="s">
        <v>123</v>
      </c>
      <c r="D60" s="30" t="s">
        <v>85</v>
      </c>
      <c r="E60">
        <v>7.85</v>
      </c>
    </row>
    <row r="61" spans="1:5" x14ac:dyDescent="0.25">
      <c r="A61" t="s">
        <v>125</v>
      </c>
      <c r="D61" s="30" t="s">
        <v>181</v>
      </c>
      <c r="E61">
        <v>6.8</v>
      </c>
    </row>
    <row r="62" spans="1:5" x14ac:dyDescent="0.25">
      <c r="A62" t="s">
        <v>127</v>
      </c>
      <c r="D62" s="30" t="s">
        <v>87</v>
      </c>
      <c r="E62">
        <v>7.85</v>
      </c>
    </row>
    <row r="63" spans="1:5" x14ac:dyDescent="0.25">
      <c r="A63" t="s">
        <v>129</v>
      </c>
      <c r="D63" s="30" t="s">
        <v>182</v>
      </c>
      <c r="E63">
        <v>12.8</v>
      </c>
    </row>
    <row r="64" spans="1:5" x14ac:dyDescent="0.25">
      <c r="A64" t="s">
        <v>131</v>
      </c>
      <c r="D64" s="30" t="s">
        <v>183</v>
      </c>
      <c r="E64">
        <v>14.65</v>
      </c>
    </row>
    <row r="65" spans="1:5" x14ac:dyDescent="0.25">
      <c r="A65" t="s">
        <v>133</v>
      </c>
      <c r="D65" s="30" t="s">
        <v>89</v>
      </c>
      <c r="E65">
        <v>7.85</v>
      </c>
    </row>
    <row r="66" spans="1:5" x14ac:dyDescent="0.25">
      <c r="D66" s="30" t="s">
        <v>91</v>
      </c>
      <c r="E66">
        <v>7.85</v>
      </c>
    </row>
    <row r="67" spans="1:5" x14ac:dyDescent="0.25">
      <c r="D67" s="30" t="s">
        <v>93</v>
      </c>
      <c r="E67">
        <v>7.85</v>
      </c>
    </row>
    <row r="68" spans="1:5" x14ac:dyDescent="0.25">
      <c r="D68" s="30" t="s">
        <v>95</v>
      </c>
      <c r="E68">
        <v>7.85</v>
      </c>
    </row>
    <row r="69" spans="1:5" x14ac:dyDescent="0.25">
      <c r="D69" s="30" t="s">
        <v>97</v>
      </c>
      <c r="E69">
        <v>7.85</v>
      </c>
    </row>
    <row r="70" spans="1:5" x14ac:dyDescent="0.25">
      <c r="D70" s="30" t="s">
        <v>99</v>
      </c>
      <c r="E70">
        <v>7.85</v>
      </c>
    </row>
    <row r="71" spans="1:5" x14ac:dyDescent="0.25">
      <c r="D71" s="30" t="s">
        <v>101</v>
      </c>
      <c r="E71">
        <v>7.85</v>
      </c>
    </row>
    <row r="72" spans="1:5" x14ac:dyDescent="0.25">
      <c r="D72" s="30" t="s">
        <v>103</v>
      </c>
      <c r="E72">
        <v>7.85</v>
      </c>
    </row>
    <row r="73" spans="1:5" x14ac:dyDescent="0.25">
      <c r="D73" s="30" t="s">
        <v>105</v>
      </c>
      <c r="E73">
        <v>7.85</v>
      </c>
    </row>
    <row r="74" spans="1:5" x14ac:dyDescent="0.25">
      <c r="D74" s="30" t="s">
        <v>107</v>
      </c>
      <c r="E74">
        <v>7.85</v>
      </c>
    </row>
    <row r="75" spans="1:5" x14ac:dyDescent="0.25">
      <c r="D75" s="30" t="s">
        <v>109</v>
      </c>
      <c r="E75">
        <v>7.85</v>
      </c>
    </row>
    <row r="76" spans="1:5" x14ac:dyDescent="0.25">
      <c r="D76" s="30" t="s">
        <v>111</v>
      </c>
      <c r="E76">
        <v>7.85</v>
      </c>
    </row>
    <row r="77" spans="1:5" x14ac:dyDescent="0.25">
      <c r="D77" s="30" t="s">
        <v>113</v>
      </c>
      <c r="E77">
        <v>7.85</v>
      </c>
    </row>
    <row r="78" spans="1:5" x14ac:dyDescent="0.25">
      <c r="D78" s="30" t="s">
        <v>184</v>
      </c>
      <c r="E78">
        <v>6.8</v>
      </c>
    </row>
    <row r="79" spans="1:5" x14ac:dyDescent="0.25">
      <c r="D79" s="30" t="s">
        <v>115</v>
      </c>
      <c r="E79">
        <v>7.85</v>
      </c>
    </row>
    <row r="80" spans="1:5" x14ac:dyDescent="0.25">
      <c r="D80" s="30" t="s">
        <v>185</v>
      </c>
      <c r="E80">
        <v>12.8</v>
      </c>
    </row>
    <row r="81" spans="4:5" x14ac:dyDescent="0.25">
      <c r="D81" s="30" t="s">
        <v>186</v>
      </c>
      <c r="E81">
        <v>6.8</v>
      </c>
    </row>
    <row r="82" spans="4:5" x14ac:dyDescent="0.25">
      <c r="D82" t="s">
        <v>117</v>
      </c>
      <c r="E82">
        <v>7.85</v>
      </c>
    </row>
    <row r="83" spans="4:5" x14ac:dyDescent="0.25">
      <c r="D83" t="s">
        <v>119</v>
      </c>
      <c r="E83">
        <v>7.85</v>
      </c>
    </row>
    <row r="84" spans="4:5" x14ac:dyDescent="0.25">
      <c r="D84" t="s">
        <v>121</v>
      </c>
      <c r="E84">
        <v>7.85</v>
      </c>
    </row>
    <row r="85" spans="4:5" x14ac:dyDescent="0.25">
      <c r="D85" t="s">
        <v>123</v>
      </c>
      <c r="E85">
        <v>7.85</v>
      </c>
    </row>
    <row r="86" spans="4:5" x14ac:dyDescent="0.25">
      <c r="D86" t="s">
        <v>125</v>
      </c>
      <c r="E86">
        <v>7.85</v>
      </c>
    </row>
    <row r="87" spans="4:5" x14ac:dyDescent="0.25">
      <c r="D87" t="s">
        <v>187</v>
      </c>
      <c r="E87">
        <v>4.8499999999999996</v>
      </c>
    </row>
    <row r="88" spans="4:5" x14ac:dyDescent="0.25">
      <c r="D88" t="s">
        <v>127</v>
      </c>
      <c r="E88">
        <v>7.85</v>
      </c>
    </row>
    <row r="89" spans="4:5" x14ac:dyDescent="0.25">
      <c r="D89" t="s">
        <v>129</v>
      </c>
      <c r="E89">
        <v>7.85</v>
      </c>
    </row>
    <row r="90" spans="4:5" x14ac:dyDescent="0.25">
      <c r="D90" t="s">
        <v>131</v>
      </c>
      <c r="E90">
        <v>7.85</v>
      </c>
    </row>
    <row r="91" spans="4:5" x14ac:dyDescent="0.25">
      <c r="D91" t="s">
        <v>133</v>
      </c>
      <c r="E91">
        <v>7.85</v>
      </c>
    </row>
    <row r="166" spans="4:4" x14ac:dyDescent="0.25">
      <c r="D166" t="s">
        <v>205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66D1DA5A56104CA00B3933280F14C5" ma:contentTypeVersion="18" ma:contentTypeDescription="Create a new document." ma:contentTypeScope="" ma:versionID="6b60d91f606fc6b34a8b8a3a8e174578">
  <xsd:schema xmlns:xsd="http://www.w3.org/2001/XMLSchema" xmlns:xs="http://www.w3.org/2001/XMLSchema" xmlns:p="http://schemas.microsoft.com/office/2006/metadata/properties" xmlns:ns3="76aef858-9686-443f-90b3-b53c4edb6b55" xmlns:ns4="2ccda5ea-bd6a-4935-b76d-8f7c52c66dce" targetNamespace="http://schemas.microsoft.com/office/2006/metadata/properties" ma:root="true" ma:fieldsID="9abb31ff026542d26bb381d4e9201ad0" ns3:_="" ns4:_="">
    <xsd:import namespace="76aef858-9686-443f-90b3-b53c4edb6b55"/>
    <xsd:import namespace="2ccda5ea-bd6a-4935-b76d-8f7c52c66dc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element ref="ns3:_activity" minOccurs="0"/>
                <xsd:element ref="ns3:MediaServiceSearchProperties"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aef858-9686-443f-90b3-b53c4edb6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cda5ea-bd6a-4935-b76d-8f7c52c66dc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76aef858-9686-443f-90b3-b53c4edb6b55" xsi:nil="true"/>
  </documentManagement>
</p:properties>
</file>

<file path=customXml/itemProps1.xml><?xml version="1.0" encoding="utf-8"?>
<ds:datastoreItem xmlns:ds="http://schemas.openxmlformats.org/officeDocument/2006/customXml" ds:itemID="{F663C97C-0D8C-43AA-8BE1-D68C271FBBB0}">
  <ds:schemaRefs>
    <ds:schemaRef ds:uri="http://schemas.microsoft.com/sharepoint/v3/contenttype/forms"/>
  </ds:schemaRefs>
</ds:datastoreItem>
</file>

<file path=customXml/itemProps2.xml><?xml version="1.0" encoding="utf-8"?>
<ds:datastoreItem xmlns:ds="http://schemas.openxmlformats.org/officeDocument/2006/customXml" ds:itemID="{94832426-0979-4F04-ACD1-EF454F5BFE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aef858-9686-443f-90b3-b53c4edb6b55"/>
    <ds:schemaRef ds:uri="2ccda5ea-bd6a-4935-b76d-8f7c52c66d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7408D4-7A82-49F2-841F-81BDB4D3697B}">
  <ds:schemaRefs>
    <ds:schemaRef ds:uri="http://schemas.microsoft.com/DataMashup"/>
  </ds:schemaRefs>
</ds:datastoreItem>
</file>

<file path=customXml/itemProps4.xml><?xml version="1.0" encoding="utf-8"?>
<ds:datastoreItem xmlns:ds="http://schemas.openxmlformats.org/officeDocument/2006/customXml" ds:itemID="{07FD9CDA-7C57-44F1-932D-53D7B9FBE25F}">
  <ds:schemaRefs>
    <ds:schemaRef ds:uri="http://schemas.microsoft.com/office/2006/documentManagement/types"/>
    <ds:schemaRef ds:uri="http://purl.org/dc/dcmitype/"/>
    <ds:schemaRef ds:uri="http://schemas.microsoft.com/office/infopath/2007/PartnerControls"/>
    <ds:schemaRef ds:uri="76aef858-9686-443f-90b3-b53c4edb6b55"/>
    <ds:schemaRef ds:uri="http://purl.org/dc/elements/1.1/"/>
    <ds:schemaRef ds:uri="http://purl.org/dc/terms/"/>
    <ds:schemaRef ds:uri="2ccda5ea-bd6a-4935-b76d-8f7c52c66dce"/>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Workbook Master</vt:lpstr>
      <vt:lpstr>Receipts By Charge Codes - RP (</vt:lpstr>
      <vt:lpstr>Count Workbook (sans para.)</vt:lpstr>
      <vt:lpstr>Count Workbook (Formulas)</vt:lpstr>
      <vt:lpstr>Invoice Data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Cydnee Lystad</dc:creator>
  <cp:keywords/>
  <dc:description/>
  <cp:lastModifiedBy>Patrick Batson</cp:lastModifiedBy>
  <cp:revision/>
  <dcterms:created xsi:type="dcterms:W3CDTF">2024-07-30T15:28:06Z</dcterms:created>
  <dcterms:modified xsi:type="dcterms:W3CDTF">2026-08-05T14:54:25Z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0x0101009166D1DA5A56104CA00B3933280F14C5</vt:lpwstr>
  </property>
</Properties>
</file>